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port\Downloads\"/>
    </mc:Choice>
  </mc:AlternateContent>
  <xr:revisionPtr revIDLastSave="0" documentId="13_ncr:1_{D60A9DDC-18A8-4F50-B5D6-9E3431FD8F25}" xr6:coauthVersionLast="47" xr6:coauthVersionMax="47" xr10:uidLastSave="{00000000-0000-0000-0000-000000000000}"/>
  <bookViews>
    <workbookView xWindow="-120" yWindow="-120" windowWidth="29040" windowHeight="15720" tabRatio="500" xr2:uid="{00000000-000D-0000-FFFF-FFFF00000000}"/>
  </bookViews>
  <sheets>
    <sheet name="Read Me" sheetId="1" r:id="rId1"/>
    <sheet name="Accessibility Inventory" sheetId="2" r:id="rId2"/>
    <sheet name="Legal Register" sheetId="3" r:id="rId3"/>
    <sheet name="Lookups" sheetId="4" r:id="rId4"/>
    <sheet name="Reporting" sheetId="5" r:id="rId5"/>
    <sheet name="Review Log" sheetId="6" r:id="rId6"/>
  </sheets>
  <definedNames>
    <definedName name="_xlnm._FilterDatabase" localSheetId="5" hidden="1">'Review Log'!$A$1:$F$22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9" i="6" l="1"/>
  <c r="C28" i="6"/>
  <c r="C27" i="6"/>
  <c r="C26" i="6"/>
  <c r="C25" i="6"/>
  <c r="B285" i="5"/>
  <c r="A285" i="5"/>
  <c r="C285" i="5" s="1"/>
  <c r="B284" i="5"/>
  <c r="A284" i="5"/>
  <c r="C284" i="5" s="1"/>
  <c r="B283" i="5"/>
  <c r="A283" i="5"/>
  <c r="C283" i="5" s="1"/>
  <c r="B282" i="5"/>
  <c r="A282" i="5"/>
  <c r="C282" i="5" s="1"/>
  <c r="C281" i="5"/>
  <c r="B281" i="5"/>
  <c r="A281" i="5"/>
  <c r="B280" i="5"/>
  <c r="A280" i="5"/>
  <c r="C280" i="5" s="1"/>
  <c r="C279" i="5"/>
  <c r="B279" i="5"/>
  <c r="A279" i="5"/>
  <c r="B278" i="5"/>
  <c r="A278" i="5"/>
  <c r="C278" i="5" s="1"/>
  <c r="B277" i="5"/>
  <c r="A277" i="5"/>
  <c r="C277" i="5" s="1"/>
  <c r="B276" i="5"/>
  <c r="A276" i="5"/>
  <c r="C276" i="5" s="1"/>
  <c r="B275" i="5"/>
  <c r="A275" i="5"/>
  <c r="C275" i="5" s="1"/>
  <c r="B274" i="5"/>
  <c r="A274" i="5"/>
  <c r="C274" i="5" s="1"/>
  <c r="B273" i="5"/>
  <c r="A273" i="5"/>
  <c r="C273" i="5" s="1"/>
  <c r="C272" i="5"/>
  <c r="B272" i="5"/>
  <c r="A272" i="5"/>
  <c r="B271" i="5"/>
  <c r="A271" i="5"/>
  <c r="C271" i="5" s="1"/>
  <c r="C270" i="5"/>
  <c r="B270" i="5"/>
  <c r="A270" i="5"/>
  <c r="C269" i="5"/>
  <c r="B269" i="5"/>
  <c r="A269" i="5"/>
  <c r="C268" i="5"/>
  <c r="B268" i="5"/>
  <c r="A268" i="5"/>
  <c r="B267" i="5"/>
  <c r="A267" i="5"/>
  <c r="C267" i="5" s="1"/>
  <c r="B266" i="5"/>
  <c r="A266" i="5"/>
  <c r="C266" i="5" s="1"/>
  <c r="B265" i="5"/>
  <c r="A265" i="5"/>
  <c r="C265" i="5" s="1"/>
  <c r="B264" i="5"/>
  <c r="A264" i="5"/>
  <c r="C264" i="5" s="1"/>
  <c r="B263" i="5"/>
  <c r="A263" i="5"/>
  <c r="C263" i="5" s="1"/>
  <c r="C262" i="5"/>
  <c r="B262" i="5"/>
  <c r="A262" i="5"/>
  <c r="C261" i="5"/>
  <c r="B261" i="5"/>
  <c r="A261" i="5"/>
  <c r="C260" i="5"/>
  <c r="B260" i="5"/>
  <c r="A260" i="5"/>
  <c r="C259" i="5"/>
  <c r="B259" i="5"/>
  <c r="A259" i="5"/>
  <c r="C258" i="5"/>
  <c r="B258" i="5"/>
  <c r="A258" i="5"/>
  <c r="C257" i="5"/>
  <c r="B257" i="5"/>
  <c r="A257" i="5"/>
  <c r="B256" i="5"/>
  <c r="A256" i="5"/>
  <c r="C256" i="5" s="1"/>
  <c r="B255" i="5"/>
  <c r="A255" i="5"/>
  <c r="C255" i="5" s="1"/>
  <c r="B254" i="5"/>
  <c r="A254" i="5"/>
  <c r="C254" i="5" s="1"/>
  <c r="C253" i="5"/>
  <c r="B253" i="5"/>
  <c r="A253" i="5"/>
  <c r="C252" i="5"/>
  <c r="B252" i="5"/>
  <c r="A252" i="5"/>
  <c r="B251" i="5"/>
  <c r="A251" i="5"/>
  <c r="C251" i="5" s="1"/>
  <c r="C250" i="5"/>
  <c r="B250" i="5"/>
  <c r="A250" i="5"/>
  <c r="B249" i="5"/>
  <c r="A249" i="5"/>
  <c r="C249" i="5" s="1"/>
  <c r="C248" i="5"/>
  <c r="B248" i="5"/>
  <c r="A248" i="5"/>
  <c r="B247" i="5"/>
  <c r="A247" i="5"/>
  <c r="C247" i="5" s="1"/>
  <c r="B246" i="5"/>
  <c r="A246" i="5"/>
  <c r="C246" i="5" s="1"/>
  <c r="B245" i="5"/>
  <c r="A245" i="5"/>
  <c r="C245" i="5" s="1"/>
  <c r="B244" i="5"/>
  <c r="A244" i="5"/>
  <c r="C244" i="5" s="1"/>
  <c r="B243" i="5"/>
  <c r="A243" i="5"/>
  <c r="C243" i="5" s="1"/>
  <c r="B237" i="5"/>
  <c r="B236" i="5"/>
  <c r="B235" i="5"/>
  <c r="B234" i="5"/>
  <c r="B233" i="5"/>
  <c r="B232" i="5"/>
  <c r="B231" i="5"/>
  <c r="A225" i="5"/>
  <c r="B225" i="5" s="1"/>
  <c r="A224" i="5"/>
  <c r="B224" i="5" s="1"/>
  <c r="C224" i="5" s="1"/>
  <c r="B223" i="5"/>
  <c r="C223" i="5" s="1"/>
  <c r="A223" i="5"/>
  <c r="A222" i="5"/>
  <c r="B222" i="5" s="1"/>
  <c r="B221" i="5"/>
  <c r="A221" i="5"/>
  <c r="A220" i="5"/>
  <c r="B220" i="5" s="1"/>
  <c r="A214" i="5"/>
  <c r="B214" i="5" s="1"/>
  <c r="A213" i="5"/>
  <c r="B213" i="5" s="1"/>
  <c r="C213" i="5" s="1"/>
  <c r="B212" i="5"/>
  <c r="C212" i="5" s="1"/>
  <c r="A212" i="5"/>
  <c r="A211" i="5"/>
  <c r="B211" i="5" s="1"/>
  <c r="B210" i="5"/>
  <c r="A210" i="5"/>
  <c r="A209" i="5"/>
  <c r="B209" i="5" s="1"/>
  <c r="B208" i="5"/>
  <c r="C208" i="5" s="1"/>
  <c r="A208" i="5"/>
  <c r="B207" i="5"/>
  <c r="A207" i="5"/>
  <c r="B206" i="5"/>
  <c r="C206" i="5" s="1"/>
  <c r="A206" i="5"/>
  <c r="A205" i="5"/>
  <c r="B205" i="5" s="1"/>
  <c r="C205" i="5" s="1"/>
  <c r="B204" i="5"/>
  <c r="A204" i="5"/>
  <c r="A203" i="5"/>
  <c r="B203" i="5" s="1"/>
  <c r="C203" i="5" s="1"/>
  <c r="A202" i="5"/>
  <c r="B202" i="5" s="1"/>
  <c r="A201" i="5"/>
  <c r="B201" i="5" s="1"/>
  <c r="C201" i="5" s="1"/>
  <c r="A200" i="5"/>
  <c r="B200" i="5" s="1"/>
  <c r="C200" i="5" s="1"/>
  <c r="A199" i="5"/>
  <c r="B199" i="5" s="1"/>
  <c r="B193" i="5"/>
  <c r="A193" i="5"/>
  <c r="A192" i="5"/>
  <c r="B192" i="5" s="1"/>
  <c r="C192" i="5" s="1"/>
  <c r="A191" i="5"/>
  <c r="B191" i="5" s="1"/>
  <c r="A190" i="5"/>
  <c r="B190" i="5" s="1"/>
  <c r="C190" i="5" s="1"/>
  <c r="A189" i="5"/>
  <c r="B189" i="5" s="1"/>
  <c r="C189" i="5" s="1"/>
  <c r="A188" i="5"/>
  <c r="B188" i="5" s="1"/>
  <c r="C188" i="5" s="1"/>
  <c r="B187" i="5"/>
  <c r="A187" i="5"/>
  <c r="A186" i="5"/>
  <c r="B186" i="5" s="1"/>
  <c r="C186" i="5" s="1"/>
  <c r="B185" i="5"/>
  <c r="A185" i="5"/>
  <c r="A184" i="5"/>
  <c r="B184" i="5" s="1"/>
  <c r="C184" i="5" s="1"/>
  <c r="A183" i="5"/>
  <c r="B183" i="5" s="1"/>
  <c r="A182" i="5"/>
  <c r="B182" i="5" s="1"/>
  <c r="C182" i="5" s="1"/>
  <c r="B181" i="5"/>
  <c r="C181" i="5" s="1"/>
  <c r="A181" i="5"/>
  <c r="A175" i="5"/>
  <c r="B175" i="5" s="1"/>
  <c r="C175" i="5" s="1"/>
  <c r="B174" i="5"/>
  <c r="A174" i="5"/>
  <c r="A173" i="5"/>
  <c r="B173" i="5" s="1"/>
  <c r="C173" i="5" s="1"/>
  <c r="A172" i="5"/>
  <c r="B172" i="5" s="1"/>
  <c r="A171" i="5"/>
  <c r="B171" i="5" s="1"/>
  <c r="C171" i="5" s="1"/>
  <c r="B170" i="5"/>
  <c r="C170" i="5" s="1"/>
  <c r="A170" i="5"/>
  <c r="A169" i="5"/>
  <c r="B169" i="5" s="1"/>
  <c r="B168" i="5"/>
  <c r="A168" i="5"/>
  <c r="A167" i="5"/>
  <c r="B167" i="5" s="1"/>
  <c r="C167" i="5" s="1"/>
  <c r="B166" i="5"/>
  <c r="C166" i="5" s="1"/>
  <c r="A166" i="5"/>
  <c r="B165" i="5"/>
  <c r="A165" i="5"/>
  <c r="B164" i="5"/>
  <c r="C164" i="5" s="1"/>
  <c r="A164" i="5"/>
  <c r="A163" i="5"/>
  <c r="B163" i="5" s="1"/>
  <c r="C163" i="5" s="1"/>
  <c r="B162" i="5"/>
  <c r="A162" i="5"/>
  <c r="A161" i="5"/>
  <c r="B161" i="5" s="1"/>
  <c r="C161" i="5" s="1"/>
  <c r="A160" i="5"/>
  <c r="B160" i="5" s="1"/>
  <c r="A159" i="5"/>
  <c r="B159" i="5" s="1"/>
  <c r="C159" i="5" s="1"/>
  <c r="A158" i="5"/>
  <c r="B158" i="5" s="1"/>
  <c r="C158" i="5" s="1"/>
  <c r="A157" i="5"/>
  <c r="B157" i="5" s="1"/>
  <c r="C157" i="5" s="1"/>
  <c r="B156" i="5"/>
  <c r="A156" i="5"/>
  <c r="A155" i="5"/>
  <c r="B155" i="5" s="1"/>
  <c r="C155" i="5" s="1"/>
  <c r="B154" i="5"/>
  <c r="A154" i="5"/>
  <c r="A153" i="5"/>
  <c r="B153" i="5" s="1"/>
  <c r="C153" i="5" s="1"/>
  <c r="A152" i="5"/>
  <c r="B152" i="5" s="1"/>
  <c r="A151" i="5"/>
  <c r="B151" i="5" s="1"/>
  <c r="C151" i="5" s="1"/>
  <c r="B150" i="5"/>
  <c r="C150" i="5" s="1"/>
  <c r="A150" i="5"/>
  <c r="A144" i="5"/>
  <c r="B144" i="5" s="1"/>
  <c r="C144" i="5" s="1"/>
  <c r="B143" i="5"/>
  <c r="A143" i="5"/>
  <c r="A142" i="5"/>
  <c r="B142" i="5" s="1"/>
  <c r="C142" i="5" s="1"/>
  <c r="A141" i="5"/>
  <c r="B141" i="5" s="1"/>
  <c r="A140" i="5"/>
  <c r="B140" i="5" s="1"/>
  <c r="C140" i="5" s="1"/>
  <c r="B139" i="5"/>
  <c r="C139" i="5" s="1"/>
  <c r="A139" i="5"/>
  <c r="A138" i="5"/>
  <c r="B138" i="5" s="1"/>
  <c r="C138" i="5" s="1"/>
  <c r="B137" i="5"/>
  <c r="A137" i="5"/>
  <c r="A136" i="5"/>
  <c r="B136" i="5" s="1"/>
  <c r="C136" i="5" s="1"/>
  <c r="B135" i="5"/>
  <c r="C135" i="5" s="1"/>
  <c r="A135" i="5"/>
  <c r="B134" i="5"/>
  <c r="A134" i="5"/>
  <c r="B133" i="5"/>
  <c r="C133" i="5" s="1"/>
  <c r="A133" i="5"/>
  <c r="A132" i="5"/>
  <c r="B132" i="5" s="1"/>
  <c r="C132" i="5" s="1"/>
  <c r="B131" i="5"/>
  <c r="A131" i="5"/>
  <c r="A130" i="5"/>
  <c r="B130" i="5" s="1"/>
  <c r="C130" i="5" s="1"/>
  <c r="A129" i="5"/>
  <c r="B129" i="5" s="1"/>
  <c r="A128" i="5"/>
  <c r="B128" i="5" s="1"/>
  <c r="C128" i="5" s="1"/>
  <c r="B122" i="5"/>
  <c r="C122" i="5" s="1"/>
  <c r="A122" i="5"/>
  <c r="A121" i="5"/>
  <c r="B121" i="5" s="1"/>
  <c r="C121" i="5" s="1"/>
  <c r="B120" i="5"/>
  <c r="A120" i="5"/>
  <c r="A119" i="5"/>
  <c r="B119" i="5" s="1"/>
  <c r="C119" i="5" s="1"/>
  <c r="A118" i="5"/>
  <c r="B118" i="5" s="1"/>
  <c r="A117" i="5"/>
  <c r="B117" i="5" s="1"/>
  <c r="C117" i="5" s="1"/>
  <c r="A116" i="5"/>
  <c r="B116" i="5" s="1"/>
  <c r="C116" i="5" s="1"/>
  <c r="A115" i="5"/>
  <c r="B115" i="5" s="1"/>
  <c r="C115" i="5" s="1"/>
  <c r="B114" i="5"/>
  <c r="A114" i="5"/>
  <c r="A113" i="5"/>
  <c r="B113" i="5" s="1"/>
  <c r="C113" i="5" s="1"/>
  <c r="B112" i="5"/>
  <c r="A112" i="5"/>
  <c r="A111" i="5"/>
  <c r="B111" i="5" s="1"/>
  <c r="A105" i="5"/>
  <c r="B105" i="5" s="1"/>
  <c r="C105" i="5" s="1"/>
  <c r="A104" i="5"/>
  <c r="B104" i="5" s="1"/>
  <c r="C104" i="5" s="1"/>
  <c r="B103" i="5"/>
  <c r="A103" i="5"/>
  <c r="A102" i="5"/>
  <c r="B102" i="5" s="1"/>
  <c r="C102" i="5" s="1"/>
  <c r="B101" i="5"/>
  <c r="A101" i="5"/>
  <c r="A100" i="5"/>
  <c r="B100" i="5" s="1"/>
  <c r="C100" i="5" s="1"/>
  <c r="A99" i="5"/>
  <c r="B99" i="5" s="1"/>
  <c r="A98" i="5"/>
  <c r="B98" i="5" s="1"/>
  <c r="C98" i="5" s="1"/>
  <c r="B97" i="5"/>
  <c r="C97" i="5" s="1"/>
  <c r="A97" i="5"/>
  <c r="A96" i="5"/>
  <c r="B96" i="5" s="1"/>
  <c r="C96" i="5" s="1"/>
  <c r="B95" i="5"/>
  <c r="A95" i="5"/>
  <c r="A94" i="5"/>
  <c r="B94" i="5" s="1"/>
  <c r="C94" i="5" s="1"/>
  <c r="B93" i="5"/>
  <c r="C93" i="5" s="1"/>
  <c r="A93" i="5"/>
  <c r="B92" i="5"/>
  <c r="A92" i="5"/>
  <c r="B91" i="5"/>
  <c r="C91" i="5" s="1"/>
  <c r="A91" i="5"/>
  <c r="A90" i="5"/>
  <c r="B90" i="5" s="1"/>
  <c r="C90" i="5" s="1"/>
  <c r="B84" i="5"/>
  <c r="A84" i="5"/>
  <c r="A83" i="5"/>
  <c r="B83" i="5" s="1"/>
  <c r="C83" i="5" s="1"/>
  <c r="B82" i="5"/>
  <c r="C82" i="5" s="1"/>
  <c r="A82" i="5"/>
  <c r="B81" i="5"/>
  <c r="A81" i="5"/>
  <c r="B80" i="5"/>
  <c r="C80" i="5" s="1"/>
  <c r="A80" i="5"/>
  <c r="A79" i="5"/>
  <c r="B79" i="5" s="1"/>
  <c r="C79" i="5" s="1"/>
  <c r="B78" i="5"/>
  <c r="A78" i="5"/>
  <c r="A77" i="5"/>
  <c r="B77" i="5" s="1"/>
  <c r="C77" i="5" s="1"/>
  <c r="A76" i="5"/>
  <c r="B76" i="5" s="1"/>
  <c r="A75" i="5"/>
  <c r="B75" i="5" s="1"/>
  <c r="C75" i="5" s="1"/>
  <c r="A74" i="5"/>
  <c r="B74" i="5" s="1"/>
  <c r="A68" i="5"/>
  <c r="B68" i="5" s="1"/>
  <c r="C68" i="5" s="1"/>
  <c r="B67" i="5"/>
  <c r="A67" i="5"/>
  <c r="A66" i="5"/>
  <c r="B66" i="5" s="1"/>
  <c r="C66" i="5" s="1"/>
  <c r="A65" i="5"/>
  <c r="B65" i="5" s="1"/>
  <c r="A64" i="5"/>
  <c r="B64" i="5" s="1"/>
  <c r="B58" i="5"/>
  <c r="C58" i="5" s="1"/>
  <c r="A58" i="5"/>
  <c r="A57" i="5"/>
  <c r="B57" i="5" s="1"/>
  <c r="C57" i="5" s="1"/>
  <c r="B56" i="5"/>
  <c r="A56" i="5"/>
  <c r="A55" i="5"/>
  <c r="B55" i="5" s="1"/>
  <c r="C55" i="5" s="1"/>
  <c r="A54" i="5"/>
  <c r="B54" i="5" s="1"/>
  <c r="A53" i="5"/>
  <c r="B53" i="5" s="1"/>
  <c r="C53" i="5" s="1"/>
  <c r="A52" i="5"/>
  <c r="B52" i="5" s="1"/>
  <c r="C52" i="5" s="1"/>
  <c r="A51" i="5"/>
  <c r="B51" i="5" s="1"/>
  <c r="C51" i="5" s="1"/>
  <c r="B50" i="5"/>
  <c r="A50" i="5"/>
  <c r="A49" i="5"/>
  <c r="B49" i="5" s="1"/>
  <c r="C49" i="5" s="1"/>
  <c r="B48" i="5"/>
  <c r="A48" i="5"/>
  <c r="A47" i="5"/>
  <c r="B47" i="5" s="1"/>
  <c r="C47" i="5" s="1"/>
  <c r="A46" i="5"/>
  <c r="B46" i="5" s="1"/>
  <c r="A45" i="5"/>
  <c r="B45" i="5" s="1"/>
  <c r="C45" i="5" s="1"/>
  <c r="B44" i="5"/>
  <c r="C44" i="5" s="1"/>
  <c r="A44" i="5"/>
  <c r="A43" i="5"/>
  <c r="B43" i="5" s="1"/>
  <c r="C43" i="5" s="1"/>
  <c r="B42" i="5"/>
  <c r="A42" i="5"/>
  <c r="A41" i="5"/>
  <c r="B41" i="5" s="1"/>
  <c r="C41" i="5" s="1"/>
  <c r="B40" i="5"/>
  <c r="C40" i="5" s="1"/>
  <c r="A40" i="5"/>
  <c r="B39" i="5"/>
  <c r="C39" i="5" s="1"/>
  <c r="A39" i="5"/>
  <c r="B33" i="5"/>
  <c r="C33" i="5" s="1"/>
  <c r="A33" i="5"/>
  <c r="A32" i="5"/>
  <c r="B32" i="5" s="1"/>
  <c r="C32" i="5" s="1"/>
  <c r="B31" i="5"/>
  <c r="A31" i="5"/>
  <c r="A30" i="5"/>
  <c r="B30" i="5" s="1"/>
  <c r="B25" i="5"/>
  <c r="C25" i="5" s="1"/>
  <c r="B24" i="5"/>
  <c r="C23" i="5"/>
  <c r="B23" i="5"/>
  <c r="B22" i="5"/>
  <c r="C22" i="5" s="1"/>
  <c r="B21" i="5"/>
  <c r="C21" i="5" s="1"/>
  <c r="B20" i="5"/>
  <c r="B19" i="5"/>
  <c r="B18" i="5"/>
  <c r="B17" i="5"/>
  <c r="B16" i="5"/>
  <c r="B12" i="5"/>
  <c r="C12" i="5" s="1"/>
  <c r="B11" i="5"/>
  <c r="C10" i="5"/>
  <c r="B10" i="5"/>
  <c r="B9" i="5"/>
  <c r="C9" i="5" s="1"/>
  <c r="B8" i="5"/>
  <c r="C8" i="5" s="1"/>
  <c r="B7" i="5"/>
  <c r="B6" i="5"/>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M2" i="4"/>
  <c r="C234" i="5" l="1"/>
  <c r="C30" i="5"/>
  <c r="B34" i="5"/>
  <c r="C34" i="5" s="1"/>
  <c r="B85" i="5"/>
  <c r="C74" i="5"/>
  <c r="C111" i="5"/>
  <c r="B123" i="5"/>
  <c r="C123" i="5" s="1"/>
  <c r="C222" i="5"/>
  <c r="B215" i="5"/>
  <c r="C215" i="5" s="1"/>
  <c r="C199" i="5"/>
  <c r="B226" i="5"/>
  <c r="C226" i="5" s="1"/>
  <c r="C64" i="5"/>
  <c r="B69" i="5"/>
  <c r="C69" i="5" s="1"/>
  <c r="C7" i="5"/>
  <c r="C20" i="5"/>
  <c r="C50" i="5"/>
  <c r="C103" i="5"/>
  <c r="C114" i="5"/>
  <c r="C156" i="5"/>
  <c r="C187" i="5"/>
  <c r="C194" i="5"/>
  <c r="C235" i="5"/>
  <c r="C236" i="5"/>
  <c r="C237" i="5"/>
  <c r="B59" i="5"/>
  <c r="C59" i="5" s="1"/>
  <c r="B238" i="5"/>
  <c r="C81" i="5"/>
  <c r="C92" i="5"/>
  <c r="B106" i="5"/>
  <c r="C134" i="5"/>
  <c r="C165" i="5"/>
  <c r="C207" i="5"/>
  <c r="C11" i="5"/>
  <c r="C24" i="5"/>
  <c r="C46" i="5"/>
  <c r="C99" i="5"/>
  <c r="C106" i="5"/>
  <c r="C141" i="5"/>
  <c r="C152" i="5"/>
  <c r="C172" i="5"/>
  <c r="C183" i="5"/>
  <c r="C214" i="5"/>
  <c r="C225" i="5"/>
  <c r="C16" i="5"/>
  <c r="C54" i="5"/>
  <c r="C65" i="5"/>
  <c r="C76" i="5"/>
  <c r="C118" i="5"/>
  <c r="C129" i="5"/>
  <c r="C160" i="5"/>
  <c r="C191" i="5"/>
  <c r="C202" i="5"/>
  <c r="C231" i="5"/>
  <c r="C209" i="5"/>
  <c r="C220" i="5"/>
  <c r="C17" i="5"/>
  <c r="C48" i="5"/>
  <c r="C101" i="5"/>
  <c r="C112" i="5"/>
  <c r="C143" i="5"/>
  <c r="C154" i="5"/>
  <c r="C174" i="5"/>
  <c r="C185" i="5"/>
  <c r="C232" i="5"/>
  <c r="C18" i="5"/>
  <c r="C31" i="5"/>
  <c r="C42" i="5"/>
  <c r="C84" i="5"/>
  <c r="C95" i="5"/>
  <c r="C137" i="5"/>
  <c r="C168" i="5"/>
  <c r="C210" i="5"/>
  <c r="C221" i="5"/>
  <c r="C233" i="5"/>
  <c r="C19" i="5"/>
  <c r="C56" i="5"/>
  <c r="C67" i="5"/>
  <c r="C78" i="5"/>
  <c r="C85" i="5"/>
  <c r="C120" i="5"/>
  <c r="C131" i="5"/>
  <c r="B145" i="5"/>
  <c r="C145" i="5" s="1"/>
  <c r="C162" i="5"/>
  <c r="B176" i="5"/>
  <c r="C193" i="5"/>
  <c r="C204" i="5"/>
  <c r="C169" i="5"/>
  <c r="C176" i="5"/>
  <c r="B194" i="5"/>
  <c r="C211" i="5"/>
</calcChain>
</file>

<file path=xl/sharedStrings.xml><?xml version="1.0" encoding="utf-8"?>
<sst xmlns="http://schemas.openxmlformats.org/spreadsheetml/2006/main" count="924" uniqueCount="663">
  <si>
    <t>Purpose</t>
  </si>
  <si>
    <t>Inventory technologies/products, map applicable legal/policy regimes, record technical baselines, exemptions/exceptions, ownership and verification.</t>
  </si>
  <si>
    <t>Important</t>
  </si>
  <si>
    <t>The Legal Register is a curated global starting point, not exhaustive legal advice. Requirements change and depend on entity, sector, jurisdiction, product/service and date. Verify applicability and exemptions with qualified legal counsel.</t>
  </si>
  <si>
    <t>Legal hierarchy</t>
  </si>
  <si>
    <t>Use Parent framework and Relationship notes to distinguish supranational frameworks (e.g. WAD/EAA) from national implementations or technical frameworks (e.g. France Article 47 + RGAA).</t>
  </si>
  <si>
    <t>Exemptions / exceptions</t>
  </si>
  <si>
    <t>Do not assume exemptions transfer between laws. The Inventory records status; the Legal Register records law-specific examples. Copy the exact legal basis into the inventory and have it reviewed.</t>
  </si>
  <si>
    <t>Multiple laws</t>
  </si>
  <si>
    <t>Use Primary Legal / Policy plus Additional Legal / Policy 1 and 2. Add more in Notes if needed.</t>
  </si>
  <si>
    <t>Baselines</t>
  </si>
  <si>
    <t>A law and a technical baseline are not the same thing. Record both separately.</t>
  </si>
  <si>
    <t>Suggested workflow</t>
  </si>
  <si>
    <t>1) Inventory technology. 2) Determine users/jurisdictions. 3) Select regimes. 4) Set baseline. 5) Document exemptions/exceptions. 6) Assign owner. 7) Define verification. 8) Review periodically.</t>
  </si>
  <si>
    <t>W3C cross-check</t>
  </si>
  <si>
    <t>https://www.w3.org/WAI/policies/</t>
  </si>
  <si>
    <t>Reporting</t>
  </si>
  <si>
    <t>Live summary of the inventory (totals, completeness checks, breakdowns, charts). All figures are formulas and update as rows are added; ranges cover inventory rows 2-1000.</t>
  </si>
  <si>
    <t>Review Log</t>
  </si>
  <si>
    <t>Findings from the accuracy review of the inventory, lookups and legal register: what was changed, and what still needs a human decision or legal verification.</t>
  </si>
  <si>
    <t>Legal regime list</t>
  </si>
  <si>
    <t>Lookups column M is now a formula that reads Legal Register column D. Add new laws to the Legal Register first, then extend the Lookups column M formulas and the validation range.</t>
  </si>
  <si>
    <t>Asset / technology</t>
  </si>
  <si>
    <t>Description / example</t>
  </si>
  <si>
    <t>Category</t>
  </si>
  <si>
    <t>Product scope</t>
  </si>
  <si>
    <t>Platform</t>
  </si>
  <si>
    <t>Audience</t>
  </si>
  <si>
    <t>Lifecycle</t>
  </si>
  <si>
    <t>Scope status</t>
  </si>
  <si>
    <t>Primary legal / policy</t>
  </si>
  <si>
    <t>Additional legal / policy 1</t>
  </si>
  <si>
    <t>Additional legal / policy 2</t>
  </si>
  <si>
    <t>Accessibility baseline</t>
  </si>
  <si>
    <t>Exception / exemption status</t>
  </si>
  <si>
    <t>Exception / exemption basis</t>
  </si>
  <si>
    <t>Primary owner / team</t>
  </si>
  <si>
    <t>Supporting owner / team</t>
  </si>
  <si>
    <t>Verification method</t>
  </si>
  <si>
    <t>Criticality</t>
  </si>
  <si>
    <t>Dependency / vendor</t>
  </si>
  <si>
    <t>Target / review date</t>
  </si>
  <si>
    <t>Notes</t>
  </si>
  <si>
    <t>Customer account portal</t>
  </si>
  <si>
    <t>Authenticated customer self-service portal</t>
  </si>
  <si>
    <t>Web application</t>
  </si>
  <si>
    <t>Single product</t>
  </si>
  <si>
    <t>Responsive web</t>
  </si>
  <si>
    <t>Customers</t>
  </si>
  <si>
    <t>Live / maintained</t>
  </si>
  <si>
    <t>In scope</t>
  </si>
  <si>
    <t>European Accessibility Act — Directive (EU) 2019/882 (EAA)</t>
  </si>
  <si>
    <t>WCAG 2.2 Level AA</t>
  </si>
  <si>
    <t>None identified</t>
  </si>
  <si>
    <t>Product manager</t>
  </si>
  <si>
    <t>Frontend engineering</t>
  </si>
  <si>
    <t>Combination of methods</t>
  </si>
  <si>
    <t>Critical — essential service / core journey</t>
  </si>
  <si>
    <t>First-party</t>
  </si>
  <si>
    <t>Example only — determine actual service/jurisdiction scope.</t>
  </si>
  <si>
    <t>Payment checkout</t>
  </si>
  <si>
    <t>Third-party hosted card payment flow</t>
  </si>
  <si>
    <t>Payment/checkout</t>
  </si>
  <si>
    <t>Vendor service</t>
  </si>
  <si>
    <t>Procured / vendor-hosted</t>
  </si>
  <si>
    <t>US — ADA Title II Web &amp; Mobile Accessibility Rule (2024)</t>
  </si>
  <si>
    <t>WCAG 2.1 Level AA</t>
  </si>
  <si>
    <t>Potential exemption / exception — legal review</t>
  </si>
  <si>
    <t>Do not assume vendor ownership removes your obligations; review exact service scope and contract.</t>
  </si>
  <si>
    <t>Procurement / vendor management</t>
  </si>
  <si>
    <t>Vendor accessibility evidence</t>
  </si>
  <si>
    <t>Vendor-hosted</t>
  </si>
  <si>
    <t>Example of vendor dependency.</t>
  </si>
  <si>
    <t>Employee HR portal</t>
  </si>
  <si>
    <t>Internal HR and payroll self-service</t>
  </si>
  <si>
    <t>Internal tool</t>
  </si>
  <si>
    <t>Enterprise-wide capability</t>
  </si>
  <si>
    <t>Employees</t>
  </si>
  <si>
    <t>Pending assessment</t>
  </si>
  <si>
    <t>Denmark — Web Accessibility Act</t>
  </si>
  <si>
    <t>Unknown / pending review</t>
  </si>
  <si>
    <t>Employment-related duties are context-specific.</t>
  </si>
  <si>
    <t>IT / internal systems</t>
  </si>
  <si>
    <t>Legal / compliance</t>
  </si>
  <si>
    <t>High — frequent or revenue-impacting</t>
  </si>
  <si>
    <t>Mixed</t>
  </si>
  <si>
    <t>Example only.</t>
  </si>
  <si>
    <t>Public-sector service website</t>
  </si>
  <si>
    <t>Citizen-facing forms and transactions</t>
  </si>
  <si>
    <t>Public website</t>
  </si>
  <si>
    <t>Customer journey</t>
  </si>
  <si>
    <t>General public</t>
  </si>
  <si>
    <t>EU Web Accessibility Directive (EU) 2016/2102 (WAD)</t>
  </si>
  <si>
    <t>France — Article 47, Law No. 2005-102 + RGAA</t>
  </si>
  <si>
    <t>RGAA (current version)</t>
  </si>
  <si>
    <t>Product owner</t>
  </si>
  <si>
    <t>Accessibility specialist</t>
  </si>
  <si>
    <t>Expert audit</t>
  </si>
  <si>
    <t>Illustrates parent + national implementation.</t>
  </si>
  <si>
    <t>Region</t>
  </si>
  <si>
    <t>Jurisdiction</t>
  </si>
  <si>
    <t>Parent framework</t>
  </si>
  <si>
    <t>Law / policy / standard</t>
  </si>
  <si>
    <t>Instrument type</t>
  </si>
  <si>
    <t>Typical scope</t>
  </si>
  <si>
    <t>Technical baseline / reference</t>
  </si>
  <si>
    <t>Key exemptions / exceptions (summary)</t>
  </si>
  <si>
    <t>Relationship / implementation notes</t>
  </si>
  <si>
    <t>Official / authoritative source</t>
  </si>
  <si>
    <t>Europe</t>
  </si>
  <si>
    <t>European Union</t>
  </si>
  <si>
    <t>Directive / accessibility law</t>
  </si>
  <si>
    <t>Public-sector websites and mobile apps</t>
  </si>
  <si>
    <t>EN 301 549 / harmonised standard; web requirements map to WCAG</t>
  </si>
  <si>
    <t>Excluded content categories include certain office files, pre-recorded media, live media, online maps (with accessible essential information), third-party content outside control, heritage reproductions, and archives; disproportionate burden may be invoked subject to assessment.</t>
  </si>
  <si>
    <t>Parent EU framework implemented/transposed by Member States for public-sector web/mobile accessibility.</t>
  </si>
  <si>
    <t>https://eur-lex.europa.eu/eli/dir/2016/2102/oj</t>
  </si>
  <si>
    <t>Specified products and services in public and private sectors</t>
  </si>
  <si>
    <t>Harmonised standards/common specifications; EN 301 549 is relevant to ICT accessibility</t>
  </si>
  <si>
    <t>Microenterprises providing services are exempt; requirements do not apply where they would cause a fundamental alteration or impose a disproportionate burden, subject to conditions/documentation. Transitional measures also apply.</t>
  </si>
  <si>
    <t>Parent EU framework transposed into national law by Member States; applies from 28 June 2025 to covered products/services.</t>
  </si>
  <si>
    <t>https://eur-lex.europa.eu/eli/dir/2019/882/oj</t>
  </si>
  <si>
    <t>France</t>
  </si>
  <si>
    <t>EU WAD 2016/2102; French disability law</t>
  </si>
  <si>
    <t>National accessibility law + technical reference framework</t>
  </si>
  <si>
    <t>Public bodies and specified private entities / online public communication services</t>
  </si>
  <si>
    <t>RGAA; harmonised standards referenced by French implementing decree</t>
  </si>
  <si>
    <t>Disproportionate burden; certain content exclusions tied to WAD/EAA categories; some nonprofit private bodies outside specified essential/disability-focused services may be outside scope. Verify current turnover thresholds and amendments.</t>
  </si>
  <si>
    <t>RGAA operationalises French digital-accessibility requirements. Article 47 and implementing decrees align with WAD; RGAA is not simply the French transposition of the EAA.</t>
  </si>
  <si>
    <t>https://www.legifrance.gouv.fr/loda/article_lc/LEGIARTI000048050213</t>
  </si>
  <si>
    <t>Germany</t>
  </si>
  <si>
    <t>EU WAD 2016/2102</t>
  </si>
  <si>
    <t>Germany — BITV 2.0</t>
  </si>
  <si>
    <t>Federal accessibility ordinance</t>
  </si>
  <si>
    <t>German federal public-sector ICT/web</t>
  </si>
  <si>
    <t>BITV 2.0 / applicable harmonised standards</t>
  </si>
  <si>
    <t>Law-specific exclusions and disproportionate-burden provisions should be checked against current BITV/BGG.</t>
  </si>
  <si>
    <t>Federal implementation framework for accessible information technology under German disability-equality law.</t>
  </si>
  <si>
    <t>https://www.gesetze-im-internet.de/bitv_2_0/</t>
  </si>
  <si>
    <t>Italy</t>
  </si>
  <si>
    <t>Italy — Law No. 4/2004 (Stanca Law), as amended</t>
  </si>
  <si>
    <t>Accessibility law</t>
  </si>
  <si>
    <t>Public administration and other covered entities</t>
  </si>
  <si>
    <t>AgID requirements / EN 301 549 / WCAG-derived criteria</t>
  </si>
  <si>
    <t>Specific scope and exemptions depend on entity and service; WAD-related disproportionate burden/excluded content rules may apply.</t>
  </si>
  <si>
    <t>Italy's principal digital-accessibility law; amended for EU public-sector accessibility obligations.</t>
  </si>
  <si>
    <t>https://www.agid.gov.it/en/design-servizi/accessibilita</t>
  </si>
  <si>
    <t>Spain</t>
  </si>
  <si>
    <t>Spain — Royal Decree 1112/2018</t>
  </si>
  <si>
    <t>Public-sector websites and mobile applications</t>
  </si>
  <si>
    <t>EN 301 549 / harmonised standards</t>
  </si>
  <si>
    <t>Excluded content and disproportionate-burden mechanism reflect WAD; users may request accessible information for excluded/exempt content where reasonable and legitimate.</t>
  </si>
  <si>
    <t>Spanish implementation of WAD.</t>
  </si>
  <si>
    <t>https://www.boe.es/buscar/act.php?id=BOE-A-2018-12699</t>
  </si>
  <si>
    <t>Ireland</t>
  </si>
  <si>
    <t>Ireland — S.I. No. 358/2020 Accessibility Regulations</t>
  </si>
  <si>
    <t>Accessibility regulations</t>
  </si>
  <si>
    <t>EN 301 549 / WCAG-derived requirements</t>
  </si>
  <si>
    <t>WAD content exclusions and disproportionate-burden provisions apply; verify exact wording in current instrument.</t>
  </si>
  <si>
    <t>Irish implementation of WAD.</t>
  </si>
  <si>
    <t>https://www.irishstatutebook.ie/eli/2020/si/358/made/en/print</t>
  </si>
  <si>
    <t>Sweden</t>
  </si>
  <si>
    <t>Sweden — Act (2018:1937) on accessibility to digital public services</t>
  </si>
  <si>
    <t>Government/public-sector digital services</t>
  </si>
  <si>
    <t>WAD-derived exclusions and disproportionate-burden rules.</t>
  </si>
  <si>
    <t>Swedish implementation of WAD.</t>
  </si>
  <si>
    <t>https://www.w3.org/WAI/policies/sweden/</t>
  </si>
  <si>
    <t>Finland</t>
  </si>
  <si>
    <t>Finland — Act on the Provision of Digital Services (306/2019)</t>
  </si>
  <si>
    <t>Public-sector and certain other digital services</t>
  </si>
  <si>
    <t>Content exclusions and disproportionate burden; exact scope differs by provider/service.</t>
  </si>
  <si>
    <t>Implements WAD and national digital-service requirements.</t>
  </si>
  <si>
    <t>https://www.w3.org/WAI/policies/finland/</t>
  </si>
  <si>
    <t>Denmark</t>
  </si>
  <si>
    <t>Government/public-sector websites and mobile apps</t>
  </si>
  <si>
    <t>WAD-derived exclusions and disproportionate-burden provisions.</t>
  </si>
  <si>
    <t>Danish implementation of WAD.</t>
  </si>
  <si>
    <t>https://www.w3.org/WAI/policies/denmark/</t>
  </si>
  <si>
    <t>Belgium</t>
  </si>
  <si>
    <t>Belgium — Law on accessibility of websites and mobile applications of public bodies (2018)</t>
  </si>
  <si>
    <t>WAD-derived exclusions and disproportionate-burden provisions; federal/regional competence can affect applicability.</t>
  </si>
  <si>
    <t>Belgian implementation of WAD.</t>
  </si>
  <si>
    <t>https://www.w3.org/WAI/policies/belgium/</t>
  </si>
  <si>
    <t>Netherlands</t>
  </si>
  <si>
    <t>Netherlands — public-sector digital accessibility decree/rules</t>
  </si>
  <si>
    <t>Accessibility law / mandatory policy</t>
  </si>
  <si>
    <t>EN 301 549 / WCAG 2.1-derived requirements</t>
  </si>
  <si>
    <t>Dutch implementation framework for WAD.</t>
  </si>
  <si>
    <t>https://www.w3.org/WAI/policies/netherlands/</t>
  </si>
  <si>
    <t>Poland</t>
  </si>
  <si>
    <t>Poland — Act of 4 April 2019 on digital accessibility</t>
  </si>
  <si>
    <t>Polish implementation of WAD.</t>
  </si>
  <si>
    <t>https://www.w3.org/WAI/policies/poland/</t>
  </si>
  <si>
    <t>Portugal</t>
  </si>
  <si>
    <t>Portugal — Decreto-Lei n.º 83/2018</t>
  </si>
  <si>
    <t>WAD-derived content exclusions and disproportionate-burden provisions.</t>
  </si>
  <si>
    <t>Portuguese transposition of WAD.</t>
  </si>
  <si>
    <t>https://www.w3.org/WAI/policies/portugal/</t>
  </si>
  <si>
    <t>United Kingdom</t>
  </si>
  <si>
    <t>Former EU WAD-derived regime</t>
  </si>
  <si>
    <t>UK — Public Sector Bodies Accessibility Regulations 2018</t>
  </si>
  <si>
    <t>WCAG 2.2 AA in current UK government guidance</t>
  </si>
  <si>
    <t>Specified organisation/content exemptions include broadcasters, some schools/nurseries, older media/documents, maps with accessible essential information, certain third-party content, older intranet/extranet content and archives; disproportionate burden may be assessed.</t>
  </si>
  <si>
    <t>UK domestic public-sector regime derived from WAD.</t>
  </si>
  <si>
    <t>https://www.gov.uk/guidance/accessibility-requirements-for-public-sector-websites-and-apps</t>
  </si>
  <si>
    <t>UK — Equality Act 2010</t>
  </si>
  <si>
    <t>Non-discrimination law</t>
  </si>
  <si>
    <t>Service providers, employers and others in Great Britain</t>
  </si>
  <si>
    <t>No single WCAG level specified by the Act</t>
  </si>
  <si>
    <t>Reasonable-adjustment duty is context-dependent; separate law applies in Northern Ireland.</t>
  </si>
  <si>
    <t>Broader anti-discrimination duty that can apply to digital services; distinct from public-sector web regulations.</t>
  </si>
  <si>
    <t>https://www.legislation.gov.uk/ukpga/2010/15/contents</t>
  </si>
  <si>
    <t>North America</t>
  </si>
  <si>
    <t>United States</t>
  </si>
  <si>
    <t>US — Americans with Disabilities Act (ADA)</t>
  </si>
  <si>
    <t>Federal non-discrimination law</t>
  </si>
  <si>
    <t>State/local government and places of public accommodation, among others</t>
  </si>
  <si>
    <t>ADA itself does not set one WCAG version for all private-sector web contexts</t>
  </si>
  <si>
    <t>Undue burden/fundamental alteration and other exceptions/defenses are context-specific. Private web applicability depends on service and jurisdiction.</t>
  </si>
  <si>
    <t>Umbrella US disability-rights law; 2024 Title II rule separately sets a technical standard for state/local government.</t>
  </si>
  <si>
    <t>https://www.ada.gov/law-and-regs/ada/</t>
  </si>
  <si>
    <t>ADA Title II</t>
  </si>
  <si>
    <t>Federal accessibility regulation</t>
  </si>
  <si>
    <t>State and local government web content and mobile apps</t>
  </si>
  <si>
    <t>Specific exceptions include certain archived content, some preexisting conventional electronic documents, third-party content, individualized password-protected documents and preexisting social-media posts, subject to conditions; ADA undue burden/fundamental alteration remain relevant.</t>
  </si>
  <si>
    <t>Specific technical rule under ADA Title II.</t>
  </si>
  <si>
    <t>https://www.ada.gov/resources/2024-03-08-web-rule/</t>
  </si>
  <si>
    <t>Rehabilitation Act</t>
  </si>
  <si>
    <t>US — Section 508 of the Rehabilitation Act</t>
  </si>
  <si>
    <t>Federal accessibility / procurement law</t>
  </si>
  <si>
    <t>US federal agencies' ICT developed, procured, maintained or used</t>
  </si>
  <si>
    <t>Revised Section 508 Standards; WCAG 2.0 A/AA incorporated</t>
  </si>
  <si>
    <t>Defined exceptions include national security systems and certain incidental ICT; undue burden and fundamental alteration provisions may apply with documentation and alternative access duties.</t>
  </si>
  <si>
    <t>Federal ICT accessibility regime including procurement.</t>
  </si>
  <si>
    <t>https://www.section508.gov/manage/laws-and-policies/section-508-law/</t>
  </si>
  <si>
    <t>US — Air Carrier Access Act web/kiosk accessibility rule</t>
  </si>
  <si>
    <t>Sector-specific accessibility regulation</t>
  </si>
  <si>
    <t>Covered airlines and airport kiosks/websites in specified contexts</t>
  </si>
  <si>
    <t>WCAG 2.0 Level AA for covered website requirements</t>
  </si>
  <si>
    <t>Sector-specific scope, deadlines and exceptions; verify current DOT rules.</t>
  </si>
  <si>
    <t>Sector-specific federal accessibility obligations.</t>
  </si>
  <si>
    <t>https://www.transportation.gov/airconsumer/air-travelers-disabilities</t>
  </si>
  <si>
    <t>US — 21st Century Communications and Video Accessibility Act (CVAA)</t>
  </si>
  <si>
    <t>Sector-specific accessibility law</t>
  </si>
  <si>
    <t>Advanced communications/video programming and related equipment/services</t>
  </si>
  <si>
    <t>FCC accessibility rules; some requirements reference ICT standards</t>
  </si>
  <si>
    <t>Product/service-specific exceptions and achievable/technical-feasibility concepts may apply; verify FCC rules.</t>
  </si>
  <si>
    <t>Sector-specific federal obligations administered by FCC.</t>
  </si>
  <si>
    <t>https://www.fcc.gov/consumers/guides/21st-century-communications-and-video-accessibility-act-cvaa</t>
  </si>
  <si>
    <t>Canada</t>
  </si>
  <si>
    <t>Canada — Accessible Canada Act (ACA)</t>
  </si>
  <si>
    <t>Federal accessibility law</t>
  </si>
  <si>
    <t>Federally regulated entities and federal government</t>
  </si>
  <si>
    <t>Standards/regulations; CAN/ASC-EN 301 549:2024 supports ACA goals</t>
  </si>
  <si>
    <t>Applicability depends on federally regulated status and implementing regulations; entity-specific exemptions should be verified.</t>
  </si>
  <si>
    <t>Federal barrier-removal framework.</t>
  </si>
  <si>
    <t>https://laws-lois.justice.gc.ca/eng/acts/A-0.6/</t>
  </si>
  <si>
    <t>Accessible Canada Act / standards ecosystem</t>
  </si>
  <si>
    <t>Canada — CAN/ASC-EN 301 549:2024</t>
  </si>
  <si>
    <t>National standard</t>
  </si>
  <si>
    <t>ICT products and services</t>
  </si>
  <si>
    <t>CAN/ASC-EN 301 549:2024</t>
  </si>
  <si>
    <t>Technical standard rather than blanket statutory obligation; applicability comes from law, procurement, policy or contract.</t>
  </si>
  <si>
    <t>Canadian adoption of EN 301 549:2021 as a National Standard of Canada.</t>
  </si>
  <si>
    <t>https://accessible.canada.ca/standards-and-technical-guides/standards-and-technical-guides-database/can-asc-en-301-5492024-accessibility-requirements-ict-products-and-services-en-301-5492021-idt</t>
  </si>
  <si>
    <t>Canada — Ontario</t>
  </si>
  <si>
    <t>AODA</t>
  </si>
  <si>
    <t>Ontario — AODA web accessibility requirements</t>
  </si>
  <si>
    <t>Provincial accessibility law/regulation</t>
  </si>
  <si>
    <t>Designated public sector and organisations with 50+ employees controlling public websites</t>
  </si>
  <si>
    <t>WCAG 2.0 Level AA with specified exceptions</t>
  </si>
  <si>
    <t>Ontario guidance excludes WCAG 2.0 SC 1.2.4 and 1.2.5; internal sites are not subject to the same public-web requirement; applicability includes employee-count/content-date conditions.</t>
  </si>
  <si>
    <t>Provincial regime under AODA.</t>
  </si>
  <si>
    <t>https://www.ontario.ca/page/how-make-websites-accessible</t>
  </si>
  <si>
    <t>Oceania</t>
  </si>
  <si>
    <t>Australia</t>
  </si>
  <si>
    <t>Australia — Disability Discrimination Act 1992 (DDA)</t>
  </si>
  <si>
    <t>Government, public and private sectors</t>
  </si>
  <si>
    <t>No single WCAG version in the Act; AHRC guidance is WCAG-based</t>
  </si>
  <si>
    <t>Unjustifiable hardship and other statutory concepts may be relevant; context-specific legal review required.</t>
  </si>
  <si>
    <t>Broad anti-discrimination law relevant to digital access.</t>
  </si>
  <si>
    <t>https://humanrights.gov.au/our-work/disability-rights/disability-discrimination</t>
  </si>
  <si>
    <t>Australian Government policy</t>
  </si>
  <si>
    <t>Australia — Digital Experience Policy / Digital Service Standard</t>
  </si>
  <si>
    <t>Mandatory government policy / standard</t>
  </si>
  <si>
    <t>Australian Government digital services</t>
  </si>
  <si>
    <t>WCAG 2.2 in current policy ecosystem</t>
  </si>
  <si>
    <t>Policy scope/exceptions depend on agency/service classification.</t>
  </si>
  <si>
    <t>Government digital policy requiring inclusive digital experiences.</t>
  </si>
  <si>
    <t>https://www.digital.gov.au/policy/digital-experience</t>
  </si>
  <si>
    <t>Commonwealth procurement framework</t>
  </si>
  <si>
    <t>Australia — Commonwealth Procurement Rules + AS EN 301 549</t>
  </si>
  <si>
    <t>Procurement policy / ICT accessibility standard</t>
  </si>
  <si>
    <t>Commonwealth ICT procurement</t>
  </si>
  <si>
    <t>AS EN 301 549</t>
  </si>
  <si>
    <t>Procurement exemptions/entity rules depend on CPR and context.</t>
  </si>
  <si>
    <t>Accessible ICT procurement framework.</t>
  </si>
  <si>
    <t>https://www.finance.gov.au/government/procurement/commonwealth-procurement-rules</t>
  </si>
  <si>
    <t>New Zealand</t>
  </si>
  <si>
    <t>New Zealand — Human Rights Act 1993</t>
  </si>
  <si>
    <t>Public and private sectors</t>
  </si>
  <si>
    <t>No single WCAG level specified by Act</t>
  </si>
  <si>
    <t>Anti-discrimination/reasonable-accommodation analysis is context-specific.</t>
  </si>
  <si>
    <t>Broad non-discrimination framework.</t>
  </si>
  <si>
    <t>https://www.legislation.govt.nz/act/public/1993/0082/latest/DLM304212.html</t>
  </si>
  <si>
    <t>NZ Government digital standards</t>
  </si>
  <si>
    <t>New Zealand — Government Web Accessibility Standard</t>
  </si>
  <si>
    <t>Mandatory government standard</t>
  </si>
  <si>
    <t>Specified Executive-branch public-service departments</t>
  </si>
  <si>
    <t>NZ Government Web Accessibility Standard / WCAG-derived</t>
  </si>
  <si>
    <t>The standard contains documented exceptions; verify the current version and conformance requirements.</t>
  </si>
  <si>
    <t>Mandatory government web standard.</t>
  </si>
  <si>
    <t>https://www.digital.govt.nz/standards-and-guidance/design-and-ux/accessibility</t>
  </si>
  <si>
    <t>Asia</t>
  </si>
  <si>
    <t>Japan</t>
  </si>
  <si>
    <t>Japan — Act for Eliminating Discrimination against Persons with Disabilities</t>
  </si>
  <si>
    <t>Does not itself mandate JIS X 8341-3 for all web content</t>
  </si>
  <si>
    <t>Reasonable-accommodation obligations/exceptions are context-specific.</t>
  </si>
  <si>
    <t>Broad disability non-discrimination framework.</t>
  </si>
  <si>
    <t>https://www8.cao.go.jp/shougai/english/law/no-discrimination.html</t>
  </si>
  <si>
    <t>Japanese public-sector web policy</t>
  </si>
  <si>
    <t>Japan — JIS X 8341-3:2016 + Everyone's Public Website Guidelines</t>
  </si>
  <si>
    <t>National standard + public-sector guidance</t>
  </si>
  <si>
    <t>Web content, especially public-sector practice</t>
  </si>
  <si>
    <t>JIS X 8341-3:2016; Digital Agency practice also references WCAG 2.2</t>
  </si>
  <si>
    <t>JIS is not a blanket statutory mandate for all websites; applicability depends on policy/organisation.</t>
  </si>
  <si>
    <t>Japanese web-accessibility standard and government guidance.</t>
  </si>
  <si>
    <t>https://www.w3.org/WAI/policies/japan/</t>
  </si>
  <si>
    <t>India</t>
  </si>
  <si>
    <t>India — Rights of Persons with Disabilities Act 2016</t>
  </si>
  <si>
    <t>Disability-rights law</t>
  </si>
  <si>
    <t>Public and private sectors in covered contexts</t>
  </si>
  <si>
    <t>Rules/standards and government guidance determine technical implementation</t>
  </si>
  <si>
    <t>Statutory exceptions and implementation depend on context; verify current rules.</t>
  </si>
  <si>
    <t>Umbrella disability-rights framework relevant to accessible ICT/information.</t>
  </si>
  <si>
    <t>https://depwd.gov.in/acts/</t>
  </si>
  <si>
    <t>Government digital policy</t>
  </si>
  <si>
    <t>India — Guidelines for Indian Government Websites / Apps (GIGW)</t>
  </si>
  <si>
    <t>Mandatory government guideline</t>
  </si>
  <si>
    <t>Indian government websites/apps</t>
  </si>
  <si>
    <t>Current GIGW accessibility requirements reference WCAG/government standards</t>
  </si>
  <si>
    <t>Scope/exceptions should be checked in current GIGW version.</t>
  </si>
  <si>
    <t>Operational requirements for Indian government digital properties.</t>
  </si>
  <si>
    <t>https://guidelines.india.gov.in/</t>
  </si>
  <si>
    <t>Republic of Korea</t>
  </si>
  <si>
    <t>Republic of Korea — disability accessibility framework</t>
  </si>
  <si>
    <t>Non-discrimination / accessibility law</t>
  </si>
  <si>
    <t>Korean web-content accessibility standards are WCAG-derived</t>
  </si>
  <si>
    <t>Applicability/exceptions depend on statute, entity and service.</t>
  </si>
  <si>
    <t>National disability-rights framework supported by Korean web standards.</t>
  </si>
  <si>
    <t>https://www.w3.org/WAI/policies/korea/</t>
  </si>
  <si>
    <t>China</t>
  </si>
  <si>
    <t>China — Law on Protection of Persons with Disabilities + digital accessibility standards</t>
  </si>
  <si>
    <t>Accessibility / disability-rights law</t>
  </si>
  <si>
    <t>National accessibility standards/policies; not one WCAG mandate</t>
  </si>
  <si>
    <t>Scope and implementing standards are context-specific.</t>
  </si>
  <si>
    <t>Umbrella disability-rights law plus separate digital accessibility standards/policies.</t>
  </si>
  <si>
    <t>https://www.w3.org/WAI/policies/china/</t>
  </si>
  <si>
    <t>Hong Kong SAR</t>
  </si>
  <si>
    <t>Hong Kong government policy</t>
  </si>
  <si>
    <t>Hong Kong — Government web accessibility guidance</t>
  </si>
  <si>
    <t>Government policy / guidance</t>
  </si>
  <si>
    <t>Government websites and digital services</t>
  </si>
  <si>
    <t>WCAG-based government requirements</t>
  </si>
  <si>
    <t>Policy-specific scope/exceptions; verify current Digital Policy Office guidance.</t>
  </si>
  <si>
    <t>Government policy rather than general private-sector web statute.</t>
  </si>
  <si>
    <t>https://www.digitalpolicy.gov.hk/en/our_work/digital_government/policies_standards/web_accessibility/</t>
  </si>
  <si>
    <t>Middle East</t>
  </si>
  <si>
    <t>Israel</t>
  </si>
  <si>
    <t>Israel — Equal Rights for Persons with Disabilities framework + web accessibility regulations</t>
  </si>
  <si>
    <t>Non-discrimination / accessibility regulation</t>
  </si>
  <si>
    <t>Public and private service providers in covered contexts</t>
  </si>
  <si>
    <t>Israeli Standard SI 5568, historically WCAG-based</t>
  </si>
  <si>
    <t>Small-business/technical-feasibility/service-specific provisions may apply; verify current regulation.</t>
  </si>
  <si>
    <t>National disability-rights law with detailed accessibility regulations.</t>
  </si>
  <si>
    <t>https://www.w3.org/WAI/policies/israel/</t>
  </si>
  <si>
    <t>South America</t>
  </si>
  <si>
    <t>Brazil</t>
  </si>
  <si>
    <t>Brazil — Brazilian Law of Inclusion (Law No. 13.146/2015)</t>
  </si>
  <si>
    <t>Disability-rights / accessibility law</t>
  </si>
  <si>
    <t>Brazilian accessibility standards/guidance; eMAG for government</t>
  </si>
  <si>
    <t>Law-specific applicability/exceptions should be checked; website accessibility is expressly addressed.</t>
  </si>
  <si>
    <t>National disability-inclusion law.</t>
  </si>
  <si>
    <t>https://www.planalto.gov.br/ccivil_03/_ato2015-2018/2015/lei/l13146.htm</t>
  </si>
  <si>
    <t>Brazilian federal e-government policy</t>
  </si>
  <si>
    <t>Brazil — eMAG</t>
  </si>
  <si>
    <t>Government accessibility model / policy</t>
  </si>
  <si>
    <t>Federal government digital services</t>
  </si>
  <si>
    <t>eMAG, WCAG-derived</t>
  </si>
  <si>
    <t>Government-policy scope; check current eMAG rules and agency obligations.</t>
  </si>
  <si>
    <t>Operational model for Brazilian government accessibility.</t>
  </si>
  <si>
    <t>https://www.gov.br/governodigital/pt-br/acessibilidade-e-usuario/acessibilidade-digital/emag</t>
  </si>
  <si>
    <t>Argentina</t>
  </si>
  <si>
    <t>Argentina — Law No. 26.653 on Web Accessibility</t>
  </si>
  <si>
    <t>Web accessibility law</t>
  </si>
  <si>
    <t>National public sector and other covered entities</t>
  </si>
  <si>
    <t>WCAG-derived national requirements</t>
  </si>
  <si>
    <t>Scope/exemptions depend on implementing rules; verify current regulatory text.</t>
  </si>
  <si>
    <t>National web-accessibility legislation.</t>
  </si>
  <si>
    <t>https://www.argentina.gob.ar/normativa/nacional/ley-26653-175694</t>
  </si>
  <si>
    <t>Colombia</t>
  </si>
  <si>
    <t>Colombia — Resolution 1519/2020 web accessibility framework</t>
  </si>
  <si>
    <t>Government accessibility regulation/policy</t>
  </si>
  <si>
    <t>Public-sector websites and digital services</t>
  </si>
  <si>
    <t>WCAG 2.1-derived guidelines</t>
  </si>
  <si>
    <t>Scope/exceptions depend on current MinTIC regulation and annexes.</t>
  </si>
  <si>
    <t>Government digital-accessibility requirements.</t>
  </si>
  <si>
    <t>https://www.mintic.gov.co/portal/inicio/Normatividad/Resoluciones/160008:Resolucion-1519-de-2020</t>
  </si>
  <si>
    <t>Africa</t>
  </si>
  <si>
    <t>Kenya</t>
  </si>
  <si>
    <t>National ICT Policy 2019 / public procurement</t>
  </si>
  <si>
    <t>Kenya — KS 2952 Accessibility of ICT Products and Services</t>
  </si>
  <si>
    <t>National ICT accessibility standard</t>
  </si>
  <si>
    <t>ICT products/services; government/public procurement</t>
  </si>
  <si>
    <t>KS 2952, based substantially on EN 301 549</t>
  </si>
  <si>
    <t>Technical standard; legal/mandatory applicability depends on government/procurement context.</t>
  </si>
  <si>
    <t>ICT Authority states government ICT standards are mandatory for ministries/counties/agencies.</t>
  </si>
  <si>
    <t>https://icta.go.ke/standards</t>
  </si>
  <si>
    <t>South Africa</t>
  </si>
  <si>
    <t>South African government web policy</t>
  </si>
  <si>
    <t>South Africa — Government Website Accessibility Guidelines</t>
  </si>
  <si>
    <t>Government guidance / policy</t>
  </si>
  <si>
    <t>National government websites</t>
  </si>
  <si>
    <t>Current guidance recommends at least WCAG 2.2 Level A plus broader best practices</t>
  </si>
  <si>
    <t>Guidance/policy scope rather than a comprehensive national private-sector web-accessibility statute; confirm applicable equality/disability law separately.</t>
  </si>
  <si>
    <t>Current GCIS guidance for government departments.</t>
  </si>
  <si>
    <t>https://www.gcis.gov.za/guidelines/website/website-accessibility</t>
  </si>
  <si>
    <t>Baseline</t>
  </si>
  <si>
    <t>Exception status</t>
  </si>
  <si>
    <t>Owner / team</t>
  </si>
  <si>
    <t>Verification</t>
  </si>
  <si>
    <t>Dependency</t>
  </si>
  <si>
    <t>Legal / policy regime</t>
  </si>
  <si>
    <t>Single feature</t>
  </si>
  <si>
    <t>New / planned</t>
  </si>
  <si>
    <t>Automated accessibility tests</t>
  </si>
  <si>
    <t>Desktop web</t>
  </si>
  <si>
    <t>In design</t>
  </si>
  <si>
    <t>Out of scope — documented basis</t>
  </si>
  <si>
    <t>Manual keyboard testing</t>
  </si>
  <si>
    <t>Third-party</t>
  </si>
  <si>
    <t>Native mobile app</t>
  </si>
  <si>
    <t>Product family</t>
  </si>
  <si>
    <t>Mobile web</t>
  </si>
  <si>
    <t>Prospective customers</t>
  </si>
  <si>
    <t>In development</t>
  </si>
  <si>
    <t>WCAG 2.0 Level AA</t>
  </si>
  <si>
    <t>Exemption / exception applies — documented</t>
  </si>
  <si>
    <t>Engineering manager</t>
  </si>
  <si>
    <t>Screen reader testing</t>
  </si>
  <si>
    <t>Medium — important but workaround exists</t>
  </si>
  <si>
    <t>Hybrid mobile app</t>
  </si>
  <si>
    <t>Shared platform</t>
  </si>
  <si>
    <t>iOS</t>
  </si>
  <si>
    <t>Pre-release</t>
  </si>
  <si>
    <t>Partially in scope</t>
  </si>
  <si>
    <t>EN 301 549 (current applicable version)</t>
  </si>
  <si>
    <t>Disproportionate / undue burden claimed</t>
  </si>
  <si>
    <t>Zoom / reflow testing</t>
  </si>
  <si>
    <t>Low — ancillary</t>
  </si>
  <si>
    <t>Open-source dependency</t>
  </si>
  <si>
    <t>Desktop application</t>
  </si>
  <si>
    <t>Android</t>
  </si>
  <si>
    <t>Job applicants</t>
  </si>
  <si>
    <t>Pilot / beta</t>
  </si>
  <si>
    <t>Fundamental alteration claimed</t>
  </si>
  <si>
    <t>Backend engineering</t>
  </si>
  <si>
    <t>Colour / contrast review</t>
  </si>
  <si>
    <t>Unknown / assess</t>
  </si>
  <si>
    <t>Document/PDF</t>
  </si>
  <si>
    <t>Windows</t>
  </si>
  <si>
    <t>Partners/suppliers</t>
  </si>
  <si>
    <t>Section 508 Revised Standards</t>
  </si>
  <si>
    <t>Legacy / archived content exclusion</t>
  </si>
  <si>
    <t>Mobile engineering</t>
  </si>
  <si>
    <t>Design review</t>
  </si>
  <si>
    <t>Unknown</t>
  </si>
  <si>
    <t>Email/template</t>
  </si>
  <si>
    <t>Document set</t>
  </si>
  <si>
    <t>macOS</t>
  </si>
  <si>
    <t>Administrators</t>
  </si>
  <si>
    <t>Legacy / maintained</t>
  </si>
  <si>
    <t>Microenterprise / small-provider exemption</t>
  </si>
  <si>
    <t>Platform engineering</t>
  </si>
  <si>
    <t>Code review</t>
  </si>
  <si>
    <t>Video/media</t>
  </si>
  <si>
    <t>Design system</t>
  </si>
  <si>
    <t>Linux</t>
  </si>
  <si>
    <t>Students/learners</t>
  </si>
  <si>
    <t>Legacy / frozen</t>
  </si>
  <si>
    <t>BITV 2.0</t>
  </si>
  <si>
    <t>Third-party content exception</t>
  </si>
  <si>
    <t>Design</t>
  </si>
  <si>
    <t>Component-level accessibility tests</t>
  </si>
  <si>
    <t>Design system/component library</t>
  </si>
  <si>
    <t>Cross-platform desktop</t>
  </si>
  <si>
    <t>Patients/service users</t>
  </si>
  <si>
    <t>Being replaced</t>
  </si>
  <si>
    <t>JIS X 8341-3:2016</t>
  </si>
  <si>
    <t>Alternative accessible format / method used</t>
  </si>
  <si>
    <t>UX research</t>
  </si>
  <si>
    <t>End-to-end accessibility tests</t>
  </si>
  <si>
    <t>Third-party service/widget</t>
  </si>
  <si>
    <t>Other</t>
  </si>
  <si>
    <t>PDF</t>
  </si>
  <si>
    <t>Developers</t>
  </si>
  <si>
    <t>Retiring / sunset</t>
  </si>
  <si>
    <t>KS 2952 (Kenya ICT Accessibility Standard)</t>
  </si>
  <si>
    <t>Temporary exception with remediation date</t>
  </si>
  <si>
    <t>Content design</t>
  </si>
  <si>
    <t>Authentication/identity</t>
  </si>
  <si>
    <t>Office document</t>
  </si>
  <si>
    <t>Public-sector users</t>
  </si>
  <si>
    <t>AODA / WCAG 2.0 AA</t>
  </si>
  <si>
    <t>Not applicable</t>
  </si>
  <si>
    <t>QA / test engineering</t>
  </si>
  <si>
    <t>Testing with disabled users</t>
  </si>
  <si>
    <t>Email client</t>
  </si>
  <si>
    <t>Mixed audience</t>
  </si>
  <si>
    <t>NZ Government Web Accessibility Standard</t>
  </si>
  <si>
    <t>Kiosk/self-service terminal</t>
  </si>
  <si>
    <t>Kiosk/embedded</t>
  </si>
  <si>
    <t>Internal accessibility standard</t>
  </si>
  <si>
    <t>Accessibility program / Centre of Excellence</t>
  </si>
  <si>
    <t>VPAT / ACR review</t>
  </si>
  <si>
    <t>Hardware/firmware</t>
  </si>
  <si>
    <t>Contractual/vendor accessibility standard</t>
  </si>
  <si>
    <t>Design system team</t>
  </si>
  <si>
    <t>Accessibility statement / conformance report</t>
  </si>
  <si>
    <t>Intranet/extranet</t>
  </si>
  <si>
    <t>Multiple platforms</t>
  </si>
  <si>
    <t>Platform accessibility guidance</t>
  </si>
  <si>
    <t>Security</t>
  </si>
  <si>
    <t>Procurement acceptance testing</t>
  </si>
  <si>
    <t>SaaS platform</t>
  </si>
  <si>
    <t>To be determined</t>
  </si>
  <si>
    <t>Privacy / data protection</t>
  </si>
  <si>
    <t>Hardware/ICT product</t>
  </si>
  <si>
    <t>Not yet defined</t>
  </si>
  <si>
    <t>API/developer portal</t>
  </si>
  <si>
    <t>AI/agent interface</t>
  </si>
  <si>
    <t>Marketing / communications</t>
  </si>
  <si>
    <t>Document production</t>
  </si>
  <si>
    <t>Customer support</t>
  </si>
  <si>
    <t>Operations</t>
  </si>
  <si>
    <t>Executive sponsor</t>
  </si>
  <si>
    <t>Vendor / supplier</t>
  </si>
  <si>
    <t>Shared ownership</t>
  </si>
  <si>
    <t>Accessibility scope: reporting</t>
  </si>
  <si>
    <t>All figures are live formulas over the Accessibility Inventory sheet (rows 2-1000). Percentages are of assets recorded.</t>
  </si>
  <si>
    <t>Headline totals</t>
  </si>
  <si>
    <t>Measure</t>
  </si>
  <si>
    <t>Count</t>
  </si>
  <si>
    <t>% of assets</t>
  </si>
  <si>
    <t>Assets recorded</t>
  </si>
  <si>
    <t>Out of scope (documented basis)</t>
  </si>
  <si>
    <t>Critical or High criticality</t>
  </si>
  <si>
    <t>Exception flagged (anything other than none / not applicable)</t>
  </si>
  <si>
    <t>Completeness checks (assets missing key data)</t>
  </si>
  <si>
    <t>Check</t>
  </si>
  <si>
    <t>Assets</t>
  </si>
  <si>
    <t>No primary legal / policy regime</t>
  </si>
  <si>
    <t>No accessibility baseline</t>
  </si>
  <si>
    <t>No primary owner</t>
  </si>
  <si>
    <t>No criticality set</t>
  </si>
  <si>
    <t>No verification method</t>
  </si>
  <si>
    <t>No target / review date</t>
  </si>
  <si>
    <t>No scope status</t>
  </si>
  <si>
    <t>Verification "Not yet defined"</t>
  </si>
  <si>
    <t>Exception flagged but no basis recorded</t>
  </si>
  <si>
    <t>Review date in the past</t>
  </si>
  <si>
    <t>Breakdowns</t>
  </si>
  <si>
    <t>Value</t>
  </si>
  <si>
    <t>Not set / other</t>
  </si>
  <si>
    <t>Legal / policy regime references by region</t>
  </si>
  <si>
    <t>Regime references</t>
  </si>
  <si>
    <t>% of references</t>
  </si>
  <si>
    <t>Total references</t>
  </si>
  <si>
    <t>Assets per legal / policy regime</t>
  </si>
  <si>
    <t>Assets referencing</t>
  </si>
  <si>
    <t>#</t>
  </si>
  <si>
    <t>Area</t>
  </si>
  <si>
    <t>Where</t>
  </si>
  <si>
    <t>Finding</t>
  </si>
  <si>
    <t>Action</t>
  </si>
  <si>
    <t>Status</t>
  </si>
  <si>
    <t>Lookups</t>
  </si>
  <si>
    <t>Lookups!M (legal regime list)</t>
  </si>
  <si>
    <t>Every national entry repeated the jurisdiction ("France — France — Article 47…", "Canada — Ontario — Ontario — AODA…"), and the list was hardcoded text that could drift from the Legal Register.</t>
  </si>
  <si>
    <t>Column M now reads Legal Register column D by formula. Existing inventory entries (I2:K5) were updated to the new labels.</t>
  </si>
  <si>
    <t>Fixed</t>
  </si>
  <si>
    <t>Inventory</t>
  </si>
  <si>
    <t>Accessibility Inventory!L3</t>
  </si>
  <si>
    <t>Payment checkout cites the ADA Title II web rule but the baseline was EN 301 549. The Title II rule sets WCAG 2.1 Level AA.</t>
  </si>
  <si>
    <t>Baseline changed to WCAG 2.1 Level AA (original: EN 301 549 (current applicable version)).</t>
  </si>
  <si>
    <t>Lookups!E (Lifecycle)</t>
  </si>
  <si>
    <t>"Pilot / beta" sat after "Procured / vendor-hosted", out of lifecycle order.</t>
  </si>
  <si>
    <t>Reordered into lifecycle sequence. No values added or removed.</t>
  </si>
  <si>
    <t>Validation</t>
  </si>
  <si>
    <t>Inventory dropdowns</t>
  </si>
  <si>
    <t>The original cross-sheet dropdowns used an Excel extension some tools drop, and they had no error message, so any text was accepted silently.</t>
  </si>
  <si>
    <t>Dropdowns recreated as standard validation with a warning message (invalid entries allowed after confirming).</t>
  </si>
  <si>
    <t>Accessibility Inventory!N5</t>
  </si>
  <si>
    <t>Row 5 is flagged "Potential exemption / exception" but has no basis recorded.</t>
  </si>
  <si>
    <t>Left as is. Add the basis or change the status.</t>
  </si>
  <si>
    <t>Needs decision</t>
  </si>
  <si>
    <t>Accessibility Inventory!L2</t>
  </si>
  <si>
    <t>Row 2 relies on the EAA with a WCAG 2.2 AA baseline. Reasonable target, but EN 301 549 is the designated technical standard for the EAA and is not recorded.</t>
  </si>
  <si>
    <t>Consider recording EN 301 549 as the baseline, with WCAG 2.2 AA as the internal target.</t>
  </si>
  <si>
    <t>Lookups!G (Baseline)</t>
  </si>
  <si>
    <t>"EN 301 549 (current applicable version)" and "RGAA (current version)" are ambiguous. EN 301 549 V4.1.1 was published 2 Sep 2026 (WCAG 2.2 AA basis) but is not yet cited in the EU Official Journal for the EAA; V3.2.1 (WCAG 2.1 AA basis) remains the harmonised version for the Web Accessibility Directive.</t>
  </si>
  <si>
    <t>Replace with explicit version values (e.g. EN 301 549 V3.2.1, V4.1.1) so reporting shows which version each asset targets.</t>
  </si>
  <si>
    <t>Lookups!H (Exception status)</t>
  </si>
  <si>
    <t>The list mixes statuses (None identified, Unknown, Not applicable), claimed grounds (disproportionate burden, fundamental alteration, microenterprise, third-party content) and mitigations ("Alternative accessible format", "Temporary exception with remediation date"). The last two are not legal exemptions.</t>
  </si>
  <si>
    <t>Split into a Status column and a Basis-type column, or rename the last two as internal risk-acceptance entries.</t>
  </si>
  <si>
    <t>Lookups!B, C, E, L</t>
  </si>
  <si>
    <t>Several lists mix dimensions: Product scope includes "Design system" and "Vendor service"; Platform includes file formats (PDF, Office document); Lifecycle includes "Procured / vendor-hosted"; Dependency has both "Third-party" and "Vendor-hosted". Rows can be classified two ways.</t>
  </si>
  <si>
    <t>Keep each list to one dimension (size, type, platform, sourcing) so counts in Reporting are not double-described.</t>
  </si>
  <si>
    <t>Lookups!I (Owner / team)</t>
  </si>
  <si>
    <t>"Shared ownership", "Executive sponsor" and "Vendor / supplier" are selectable as owner. This works against a single accountable internal owner, especially for procured assets.</t>
  </si>
  <si>
    <t>Remove them from the owner list, or move them to a separate Sponsor / Supplier column.</t>
  </si>
  <si>
    <t>Accessibility Inventory!S</t>
  </si>
  <si>
    <t>Column is titled "Dependency / vendor" but the list holds types only. Vendor names have nowhere to go except Notes.</t>
  </si>
  <si>
    <t>Add a Vendor name column, or retitle to "Dependency type".</t>
  </si>
  <si>
    <t>Lookups!J (Verification)</t>
  </si>
  <si>
    <t>"Combination of methods" hides which methods are used (2 of 4 rows). "Vendor accessibility evidence" overlaps "VPAT / ACR review". "Accessibility statement / conformance report" is a document, not a method.</t>
  </si>
  <si>
    <t>Record the methods separately, or add a Notes convention. Merge the overlapping entries.</t>
  </si>
  <si>
    <t>Legal Register</t>
  </si>
  <si>
    <t>Legal Register!J (sources)</t>
  </si>
  <si>
    <t>11 entries cite a w3.org/WAI/policies page (Sweden, Finland, Denmark, Belgium, Netherlands, Poland, Portugal, Japan, Korea, China, Israel). The column is headed "Official / authoritative source" and W3C pages are secondary.</t>
  </si>
  <si>
    <t>Replace with the statute or regulator URL.</t>
  </si>
  <si>
    <t>Needs verification</t>
  </si>
  <si>
    <t>Legal Register!D19 / row 19</t>
  </si>
  <si>
    <t>The ADA Title II rule compliance dates were extended by an interim final rule on 20 Apr 2026: 26 Apr 2027 for entities of 50,000+ population, 26 Apr 2028 for smaller entities and special districts. WCAG 2.1 AA is unchanged. The register has no date field and does not mention this.</t>
  </si>
  <si>
    <t>Add the dates to the notes column or add a Compliance date column.</t>
  </si>
  <si>
    <t>Legal Register!G3 / row 3</t>
  </si>
  <si>
    <t>EAA row says EN 301 549 "is relevant". As of Oct 2026, EN 301 549 V4.1.1 awaits citation in the Official Journal (expected around 30 Nov 2026), so no presumption of conformity exists yet for the EAA.</t>
  </si>
  <si>
    <t>Update the technical-baseline note once the citation is published.</t>
  </si>
  <si>
    <t>Legal Register (EAA national laws)</t>
  </si>
  <si>
    <t>National EAA transpositions are missing. Only the EU Directive is listed for the private sector, while the national public-sector laws (WAD) are listed individually. Examples to check: Germany BFSG, Italy D.Lgs. 82/2022, Spain Ley 11/2023, Ireland S.I. 636/2023.</t>
  </si>
  <si>
    <t>Add national EAA laws for the markets you serve, with their own exemptions.</t>
  </si>
  <si>
    <t>Legal Register!D16</t>
  </si>
  <si>
    <t>UK entry is titled "Public Sector Bodies Accessibility Regulations 2018". The full title is "Public Sector Bodies (Websites and Mobile Applications) (No. 2) Accessibility Regulations 2018". The regulations name WCAG 2.1 AA; WCAG 2.2 AA is current government guidance.</t>
  </si>
  <si>
    <t>Use the full title and note the distinction between legal text and guidance.</t>
  </si>
  <si>
    <t>Legal Register rows 11, 13, 35, 36</t>
  </si>
  <si>
    <t>Entries are generic rather than citations: Denmark "Web Accessibility Act", Netherlands "decree/rules", Korea "disability accessibility framework", China "Law on Protection of Persons with Disabilities". China may also need the 2023 Barrier-Free Environment Construction Law checked.</t>
  </si>
  <si>
    <t>Replace with exact instrument names and numbers.</t>
  </si>
  <si>
    <t>Legal Register rows 27, 28, 43, 44</t>
  </si>
  <si>
    <t>Australia (Digital Experience Policy; Commonwealth Procurement Rules + AS EN 301 549), Kenya (KS 2952 "based substantially on EN 301 549") and South Africa ("at least WCAG 2.2 Level A") could not be confirmed from the workbook alone.</t>
  </si>
  <si>
    <t>Check against the cited source before relying on them.</t>
  </si>
  <si>
    <t>General</t>
  </si>
  <si>
    <t>Legal Register scope</t>
  </si>
  <si>
    <t>No US state laws or sector rules beyond ADA, 508, ACAA and CVAA (for example HHS Section 504 web rule, state accessibility statutes). Register is described as a starting point, so this is a coverage note.</t>
  </si>
  <si>
    <t>Add if relevant to your footprint.</t>
  </si>
  <si>
    <t>Coverage note</t>
  </si>
  <si>
    <t>Data</t>
  </si>
  <si>
    <t>Accessibility Inventory</t>
  </si>
  <si>
    <t>Four example rows (2-5), all marked as examples. Table is sized to row 250; Reporting reads rows 2-1000.</t>
  </si>
  <si>
    <t>No action. Replace examples with real assets.</t>
  </si>
  <si>
    <t>Info</t>
  </si>
  <si>
    <t>Status counts</t>
  </si>
  <si>
    <t>https://github.com/architecting-accessibility/book</t>
  </si>
  <si>
    <t>Accessibility inventory and scope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</si>
</sst>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1"/>
      <name val="Calibri"/>
      <charset val="1"/>
    </font>
    <font>
      <sz val="10"/>
      <name val="Arial"/>
      <family val="2"/>
    </font>
    <font>
      <b/>
      <sz val="14"/>
      <name val="Arial"/>
      <family val="2"/>
    </font>
    <font>
      <b/>
      <sz val="10"/>
      <name val="Arial"/>
      <family val="2"/>
    </font>
    <font>
      <sz val="10"/>
      <name val="Arial"/>
      <family val="2"/>
    </font>
    <font>
      <sz val="10"/>
      <color rgb="FF000000"/>
      <name val="Arial"/>
      <family val="2"/>
    </font>
    <font>
      <b/>
      <sz val="14"/>
      <color rgb="FF000000"/>
      <name val="Arial"/>
      <family val="2"/>
    </font>
    <font>
      <i/>
      <sz val="10"/>
      <color rgb="FF595959"/>
      <name val="Arial"/>
      <family val="2"/>
    </font>
    <font>
      <b/>
      <sz val="11"/>
      <color rgb="FF000000"/>
      <name val="Arial"/>
      <family val="2"/>
    </font>
    <font>
      <b/>
      <sz val="10"/>
      <color rgb="FF000000"/>
      <name val="Arial"/>
      <family val="2"/>
    </font>
    <font>
      <i/>
      <sz val="10"/>
      <color rgb="FF000000"/>
      <name val="Arial"/>
      <family val="2"/>
    </font>
    <font>
      <u/>
      <sz val="11"/>
      <color theme="10"/>
      <name val="Calibri"/>
      <charset val="1"/>
    </font>
  </fonts>
  <fills count="3">
    <fill>
      <patternFill patternType="none"/>
    </fill>
    <fill>
      <patternFill patternType="gray125"/>
    </fill>
    <fill>
      <patternFill patternType="solid">
        <fgColor rgb="FFEDEDED"/>
        <bgColor rgb="FFD9D9D9"/>
      </patternFill>
    </fill>
  </fills>
  <borders count="4">
    <border>
      <left/>
      <right/>
      <top/>
      <bottom/>
      <diagonal/>
    </border>
    <border>
      <left/>
      <right/>
      <top/>
      <bottom style="medium">
        <color auto="1"/>
      </bottom>
      <diagonal/>
    </border>
    <border>
      <left style="thin">
        <color rgb="FFBFBFBF"/>
      </left>
      <right style="thin">
        <color rgb="FFBFBFBF"/>
      </right>
      <top style="thin">
        <color rgb="FFBFBFBF"/>
      </top>
      <bottom style="thin">
        <color rgb="FFBFBFBF"/>
      </bottom>
      <diagonal/>
    </border>
    <border>
      <left/>
      <right/>
      <top style="thin">
        <color auto="1"/>
      </top>
      <bottom/>
      <diagonal/>
    </border>
  </borders>
  <cellStyleXfs count="2">
    <xf numFmtId="0" fontId="0" fillId="0" borderId="0"/>
    <xf numFmtId="0" fontId="11" fillId="0" borderId="0" applyNumberFormat="0" applyFill="0" applyBorder="0" applyAlignment="0" applyProtection="0"/>
  </cellStyleXfs>
  <cellXfs count="31">
    <xf numFmtId="0" fontId="0" fillId="0" borderId="0" xfId="0"/>
    <xf numFmtId="0" fontId="3" fillId="0" borderId="0" xfId="0" applyFont="1" applyAlignment="1">
      <alignment vertical="top" wrapText="1"/>
    </xf>
    <xf numFmtId="0" fontId="4" fillId="0" borderId="0" xfId="0" applyFont="1" applyAlignment="1">
      <alignment vertical="top" wrapText="1"/>
    </xf>
    <xf numFmtId="0" fontId="0" fillId="0" borderId="0" xfId="0" applyAlignment="1">
      <alignment vertical="top" wrapText="1"/>
    </xf>
    <xf numFmtId="0" fontId="3" fillId="2" borderId="1" xfId="0" applyFont="1" applyFill="1" applyBorder="1" applyAlignment="1">
      <alignment vertical="center" wrapText="1"/>
    </xf>
    <xf numFmtId="0" fontId="5" fillId="0" borderId="2" xfId="0" applyFont="1" applyBorder="1" applyAlignment="1">
      <alignment vertical="top" wrapText="1"/>
    </xf>
    <xf numFmtId="164" fontId="5" fillId="0" borderId="2" xfId="0" applyNumberFormat="1" applyFont="1" applyBorder="1" applyAlignment="1">
      <alignment vertical="top" wrapText="1"/>
    </xf>
    <xf numFmtId="0" fontId="6" fillId="0" borderId="0" xfId="0" applyFont="1" applyAlignment="1">
      <alignment vertical="top"/>
    </xf>
    <xf numFmtId="0" fontId="7" fillId="0" borderId="0" xfId="0" applyFont="1" applyAlignment="1">
      <alignment vertical="top"/>
    </xf>
    <xf numFmtId="0" fontId="8" fillId="0" borderId="0" xfId="0" applyFont="1" applyAlignment="1">
      <alignment vertical="top"/>
    </xf>
    <xf numFmtId="0" fontId="9" fillId="2" borderId="1" xfId="0" applyFont="1" applyFill="1" applyBorder="1" applyAlignment="1">
      <alignment vertical="top"/>
    </xf>
    <xf numFmtId="0" fontId="9" fillId="2" borderId="1" xfId="0" applyFont="1" applyFill="1" applyBorder="1" applyAlignment="1">
      <alignment horizontal="right" vertical="top"/>
    </xf>
    <xf numFmtId="0" fontId="5" fillId="0" borderId="0" xfId="0" applyFont="1" applyAlignment="1">
      <alignment vertical="top"/>
    </xf>
    <xf numFmtId="1" fontId="5" fillId="0" borderId="0" xfId="0" applyNumberFormat="1" applyFont="1" applyAlignment="1">
      <alignment vertical="top"/>
    </xf>
    <xf numFmtId="9" fontId="5" fillId="0" borderId="0" xfId="0" applyNumberFormat="1" applyFont="1" applyAlignment="1">
      <alignment vertical="top"/>
    </xf>
    <xf numFmtId="0" fontId="9" fillId="0" borderId="0" xfId="0" applyFont="1" applyAlignment="1">
      <alignment vertical="top"/>
    </xf>
    <xf numFmtId="0" fontId="5" fillId="0" borderId="0" xfId="0" applyFont="1" applyAlignment="1">
      <alignment vertical="top" wrapText="1"/>
    </xf>
    <xf numFmtId="0" fontId="10" fillId="0" borderId="3" xfId="0" applyFont="1" applyBorder="1" applyAlignment="1">
      <alignment vertical="top"/>
    </xf>
    <xf numFmtId="1" fontId="5" fillId="0" borderId="3" xfId="0" applyNumberFormat="1" applyFont="1" applyBorder="1" applyAlignment="1">
      <alignment vertical="top"/>
    </xf>
    <xf numFmtId="9" fontId="5" fillId="0" borderId="3" xfId="0" applyNumberFormat="1" applyFont="1" applyBorder="1" applyAlignment="1">
      <alignment vertical="top"/>
    </xf>
    <xf numFmtId="0" fontId="9" fillId="0" borderId="3" xfId="0" applyFont="1" applyBorder="1" applyAlignment="1">
      <alignment vertical="top"/>
    </xf>
    <xf numFmtId="1" fontId="9" fillId="0" borderId="3" xfId="0" applyNumberFormat="1" applyFont="1" applyBorder="1" applyAlignment="1">
      <alignment vertical="top"/>
    </xf>
    <xf numFmtId="0" fontId="0" fillId="0" borderId="3" xfId="0" applyBorder="1"/>
    <xf numFmtId="0" fontId="3" fillId="2" borderId="1" xfId="0" applyFont="1" applyFill="1" applyBorder="1"/>
    <xf numFmtId="0" fontId="4" fillId="0" borderId="2" xfId="0" applyFont="1" applyBorder="1" applyAlignment="1">
      <alignment vertical="top" wrapText="1"/>
    </xf>
    <xf numFmtId="0" fontId="3" fillId="0" borderId="0" xfId="0" applyFont="1"/>
    <xf numFmtId="0" fontId="4" fillId="0" borderId="0" xfId="0" applyFont="1"/>
    <xf numFmtId="0" fontId="4" fillId="0" borderId="0" xfId="0" applyFont="1" applyAlignment="1">
      <alignment horizontal="left"/>
    </xf>
    <xf numFmtId="0" fontId="1" fillId="0" borderId="0" xfId="0" applyFont="1" applyAlignment="1">
      <alignment vertical="top" wrapText="1"/>
    </xf>
    <xf numFmtId="0" fontId="2" fillId="0" borderId="0" xfId="0" applyFont="1" applyAlignment="1">
      <alignment vertical="top" wrapText="1"/>
    </xf>
    <xf numFmtId="0" fontId="11" fillId="0" borderId="0" xfId="1" applyAlignment="1">
      <alignment horizontal="left" vertical="top" wrapText="1"/>
    </xf>
  </cellXfs>
  <cellStyles count="2">
    <cellStyle name="Hyperlink" xfId="1" builtinId="8"/>
    <cellStyle name="Normal" xfId="0" builtinId="0"/>
  </cellStyles>
  <dxfs count="3">
    <dxf>
      <fill>
        <patternFill>
          <bgColor rgb="FFEDEDED"/>
        </patternFill>
      </fill>
    </dxf>
    <dxf>
      <font>
        <b/>
        <name val="Arial"/>
        <charset val="1"/>
      </font>
    </dxf>
    <dxf>
      <font>
        <i/>
        <color rgb="FF7F7F7F"/>
        <name val="Arial"/>
        <charset val="1"/>
      </font>
    </dxf>
  </dxfs>
  <tableStyles count="0" defaultTableStyle="TableStyleMedium2" defaultPivotStyle="PivotStyleLight16"/>
  <colors>
    <indexedColors>
      <rgbColor rgb="FF000000"/>
      <rgbColor rgb="FFEDEDED"/>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8B8B8B"/>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lang="en-GB" sz="1800" b="1" strike="noStrike" spc="-1">
                <a:solidFill>
                  <a:srgbClr val="000000"/>
                </a:solidFill>
                <a:latin typeface="Calibri"/>
                <a:ea typeface="Calibri"/>
              </a:rPr>
              <a:t>Assets by scope status</a:t>
            </a:r>
          </a:p>
        </c:rich>
      </c:tx>
      <c:overlay val="0"/>
      <c:spPr>
        <a:noFill/>
        <a:ln w="0">
          <a:noFill/>
        </a:ln>
      </c:spPr>
    </c:title>
    <c:autoTitleDeleted val="0"/>
    <c:plotArea>
      <c:layout/>
      <c:barChart>
        <c:barDir val="bar"/>
        <c:grouping val="clustered"/>
        <c:varyColors val="0"/>
        <c:ser>
          <c:idx val="0"/>
          <c:order val="0"/>
          <c:spPr>
            <a:solidFill>
              <a:srgbClr val="595959"/>
            </a:solidFill>
            <a:ln w="12600">
              <a:solidFill>
                <a:srgbClr val="595959"/>
              </a:solidFill>
              <a:round/>
            </a:ln>
          </c:spPr>
          <c:invertIfNegative val="0"/>
          <c:dLbls>
            <c:spPr>
              <a:noFill/>
              <a:ln>
                <a:noFill/>
              </a:ln>
              <a:effectLst/>
            </c:spPr>
            <c:txPr>
              <a:bodyPr wrap="square"/>
              <a:lstStyle/>
              <a:p>
                <a:pPr>
                  <a:defRPr sz="1000" b="0" strike="noStrike" spc="-1">
                    <a:solidFill>
                      <a:srgbClr val="000000"/>
                    </a:solidFill>
                    <a:latin typeface="Calibri"/>
                    <a:ea typeface="Calibri"/>
                  </a:defRPr>
                </a:pPr>
                <a:endParaRPr lang="en-MT"/>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Reporting!$A$30:$A$34</c:f>
              <c:strCache>
                <c:ptCount val="5"/>
                <c:pt idx="0">
                  <c:v>In scope</c:v>
                </c:pt>
                <c:pt idx="1">
                  <c:v>Out of scope — documented basis</c:v>
                </c:pt>
                <c:pt idx="2">
                  <c:v>Pending assessment</c:v>
                </c:pt>
                <c:pt idx="3">
                  <c:v>Partially in scope</c:v>
                </c:pt>
                <c:pt idx="4">
                  <c:v>Not set / other</c:v>
                </c:pt>
              </c:strCache>
            </c:strRef>
          </c:cat>
          <c:val>
            <c:numRef>
              <c:f>Reporting!$B$30:$B$34</c:f>
              <c:numCache>
                <c:formatCode>0</c:formatCode>
                <c:ptCount val="5"/>
                <c:pt idx="0">
                  <c:v>3</c:v>
                </c:pt>
                <c:pt idx="1">
                  <c:v>0</c:v>
                </c:pt>
                <c:pt idx="2">
                  <c:v>1</c:v>
                </c:pt>
                <c:pt idx="3">
                  <c:v>0</c:v>
                </c:pt>
                <c:pt idx="4">
                  <c:v>0</c:v>
                </c:pt>
              </c:numCache>
            </c:numRef>
          </c:val>
          <c:extLst>
            <c:ext xmlns:c16="http://schemas.microsoft.com/office/drawing/2014/chart" uri="{C3380CC4-5D6E-409C-BE32-E72D297353CC}">
              <c16:uniqueId val="{00000000-BDC5-4C5B-ADE1-B4714C4BEEA0}"/>
            </c:ext>
          </c:extLst>
        </c:ser>
        <c:dLbls>
          <c:showLegendKey val="0"/>
          <c:showVal val="0"/>
          <c:showCatName val="0"/>
          <c:showSerName val="0"/>
          <c:showPercent val="0"/>
          <c:showBubbleSize val="0"/>
        </c:dLbls>
        <c:gapWidth val="150"/>
        <c:axId val="61443708"/>
        <c:axId val="7725581"/>
      </c:barChart>
      <c:catAx>
        <c:axId val="61443708"/>
        <c:scaling>
          <c:orientation val="maxMin"/>
        </c:scaling>
        <c:delete val="0"/>
        <c:axPos val="l"/>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MT"/>
          </a:p>
        </c:txPr>
        <c:crossAx val="7725581"/>
        <c:crosses val="autoZero"/>
        <c:auto val="1"/>
        <c:lblAlgn val="ctr"/>
        <c:lblOffset val="100"/>
        <c:noMultiLvlLbl val="0"/>
      </c:catAx>
      <c:valAx>
        <c:axId val="7725581"/>
        <c:scaling>
          <c:orientation val="minMax"/>
        </c:scaling>
        <c:delete val="1"/>
        <c:axPos val="t"/>
        <c:numFmt formatCode="0" sourceLinked="1"/>
        <c:majorTickMark val="none"/>
        <c:minorTickMark val="none"/>
        <c:tickLblPos val="nextTo"/>
        <c:crossAx val="6144370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lang="en-GB" sz="1800" b="1" strike="noStrike" spc="-1">
                <a:solidFill>
                  <a:srgbClr val="000000"/>
                </a:solidFill>
                <a:latin typeface="Calibri"/>
                <a:ea typeface="Calibri"/>
              </a:rPr>
              <a:t>Assets by category</a:t>
            </a:r>
          </a:p>
        </c:rich>
      </c:tx>
      <c:overlay val="0"/>
      <c:spPr>
        <a:noFill/>
        <a:ln w="0">
          <a:noFill/>
        </a:ln>
      </c:spPr>
    </c:title>
    <c:autoTitleDeleted val="0"/>
    <c:plotArea>
      <c:layout/>
      <c:barChart>
        <c:barDir val="bar"/>
        <c:grouping val="clustered"/>
        <c:varyColors val="0"/>
        <c:ser>
          <c:idx val="0"/>
          <c:order val="0"/>
          <c:spPr>
            <a:solidFill>
              <a:srgbClr val="595959"/>
            </a:solidFill>
            <a:ln w="12600">
              <a:solidFill>
                <a:srgbClr val="595959"/>
              </a:solidFill>
              <a:round/>
            </a:ln>
          </c:spPr>
          <c:invertIfNegative val="0"/>
          <c:dLbls>
            <c:spPr>
              <a:noFill/>
              <a:ln>
                <a:noFill/>
              </a:ln>
              <a:effectLst/>
            </c:spPr>
            <c:txPr>
              <a:bodyPr wrap="square"/>
              <a:lstStyle/>
              <a:p>
                <a:pPr>
                  <a:defRPr sz="1000" b="0" strike="noStrike" spc="-1">
                    <a:solidFill>
                      <a:srgbClr val="000000"/>
                    </a:solidFill>
                    <a:latin typeface="Calibri"/>
                    <a:ea typeface="Calibri"/>
                  </a:defRPr>
                </a:pPr>
                <a:endParaRPr lang="en-MT"/>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Reporting!$A$39:$A$59</c:f>
              <c:strCache>
                <c:ptCount val="21"/>
                <c:pt idx="0">
                  <c:v>Public website</c:v>
                </c:pt>
                <c:pt idx="1">
                  <c:v>Web application</c:v>
                </c:pt>
                <c:pt idx="2">
                  <c:v>Native mobile app</c:v>
                </c:pt>
                <c:pt idx="3">
                  <c:v>Hybrid mobile app</c:v>
                </c:pt>
                <c:pt idx="4">
                  <c:v>Desktop application</c:v>
                </c:pt>
                <c:pt idx="5">
                  <c:v>Document/PDF</c:v>
                </c:pt>
                <c:pt idx="6">
                  <c:v>Email/template</c:v>
                </c:pt>
                <c:pt idx="7">
                  <c:v>Video/media</c:v>
                </c:pt>
                <c:pt idx="8">
                  <c:v>Design system/component library</c:v>
                </c:pt>
                <c:pt idx="9">
                  <c:v>Third-party service/widget</c:v>
                </c:pt>
                <c:pt idx="10">
                  <c:v>Authentication/identity</c:v>
                </c:pt>
                <c:pt idx="11">
                  <c:v>Payment/checkout</c:v>
                </c:pt>
                <c:pt idx="12">
                  <c:v>Kiosk/self-service terminal</c:v>
                </c:pt>
                <c:pt idx="13">
                  <c:v>Internal tool</c:v>
                </c:pt>
                <c:pt idx="14">
                  <c:v>Intranet/extranet</c:v>
                </c:pt>
                <c:pt idx="15">
                  <c:v>SaaS platform</c:v>
                </c:pt>
                <c:pt idx="16">
                  <c:v>Hardware/ICT product</c:v>
                </c:pt>
                <c:pt idx="17">
                  <c:v>API/developer portal</c:v>
                </c:pt>
                <c:pt idx="18">
                  <c:v>AI/agent interface</c:v>
                </c:pt>
                <c:pt idx="19">
                  <c:v>Other</c:v>
                </c:pt>
                <c:pt idx="20">
                  <c:v>Not set / other</c:v>
                </c:pt>
              </c:strCache>
            </c:strRef>
          </c:cat>
          <c:val>
            <c:numRef>
              <c:f>Reporting!$B$39:$B$59</c:f>
              <c:numCache>
                <c:formatCode>0</c:formatCode>
                <c:ptCount val="21"/>
                <c:pt idx="0">
                  <c:v>1</c:v>
                </c:pt>
                <c:pt idx="1">
                  <c:v>1</c:v>
                </c:pt>
                <c:pt idx="2">
                  <c:v>0</c:v>
                </c:pt>
                <c:pt idx="3">
                  <c:v>0</c:v>
                </c:pt>
                <c:pt idx="4">
                  <c:v>0</c:v>
                </c:pt>
                <c:pt idx="5">
                  <c:v>0</c:v>
                </c:pt>
                <c:pt idx="6">
                  <c:v>0</c:v>
                </c:pt>
                <c:pt idx="7">
                  <c:v>0</c:v>
                </c:pt>
                <c:pt idx="8">
                  <c:v>0</c:v>
                </c:pt>
                <c:pt idx="9">
                  <c:v>0</c:v>
                </c:pt>
                <c:pt idx="10">
                  <c:v>0</c:v>
                </c:pt>
                <c:pt idx="11">
                  <c:v>1</c:v>
                </c:pt>
                <c:pt idx="12">
                  <c:v>0</c:v>
                </c:pt>
                <c:pt idx="13">
                  <c:v>1</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FBE6-4C6A-90D4-68563BC52EC8}"/>
            </c:ext>
          </c:extLst>
        </c:ser>
        <c:dLbls>
          <c:showLegendKey val="0"/>
          <c:showVal val="0"/>
          <c:showCatName val="0"/>
          <c:showSerName val="0"/>
          <c:showPercent val="0"/>
          <c:showBubbleSize val="0"/>
        </c:dLbls>
        <c:gapWidth val="150"/>
        <c:axId val="65028020"/>
        <c:axId val="86165877"/>
      </c:barChart>
      <c:catAx>
        <c:axId val="65028020"/>
        <c:scaling>
          <c:orientation val="maxMin"/>
        </c:scaling>
        <c:delete val="0"/>
        <c:axPos val="l"/>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MT"/>
          </a:p>
        </c:txPr>
        <c:crossAx val="86165877"/>
        <c:crosses val="autoZero"/>
        <c:auto val="1"/>
        <c:lblAlgn val="ctr"/>
        <c:lblOffset val="100"/>
        <c:noMultiLvlLbl val="0"/>
      </c:catAx>
      <c:valAx>
        <c:axId val="86165877"/>
        <c:scaling>
          <c:orientation val="minMax"/>
        </c:scaling>
        <c:delete val="1"/>
        <c:axPos val="t"/>
        <c:numFmt formatCode="0" sourceLinked="1"/>
        <c:majorTickMark val="none"/>
        <c:minorTickMark val="none"/>
        <c:tickLblPos val="nextTo"/>
        <c:crossAx val="6502802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lang="en-GB" sz="1800" b="1" strike="noStrike" spc="-1">
                <a:solidFill>
                  <a:srgbClr val="000000"/>
                </a:solidFill>
                <a:latin typeface="Calibri"/>
                <a:ea typeface="Calibri"/>
              </a:rPr>
              <a:t>Assets by criticality</a:t>
            </a:r>
          </a:p>
        </c:rich>
      </c:tx>
      <c:overlay val="0"/>
      <c:spPr>
        <a:noFill/>
        <a:ln w="0">
          <a:noFill/>
        </a:ln>
      </c:spPr>
    </c:title>
    <c:autoTitleDeleted val="0"/>
    <c:plotArea>
      <c:layout/>
      <c:barChart>
        <c:barDir val="bar"/>
        <c:grouping val="clustered"/>
        <c:varyColors val="0"/>
        <c:ser>
          <c:idx val="0"/>
          <c:order val="0"/>
          <c:spPr>
            <a:solidFill>
              <a:srgbClr val="595959"/>
            </a:solidFill>
            <a:ln w="12600">
              <a:solidFill>
                <a:srgbClr val="595959"/>
              </a:solidFill>
              <a:round/>
            </a:ln>
          </c:spPr>
          <c:invertIfNegative val="0"/>
          <c:dLbls>
            <c:spPr>
              <a:noFill/>
              <a:ln>
                <a:noFill/>
              </a:ln>
              <a:effectLst/>
            </c:spPr>
            <c:txPr>
              <a:bodyPr wrap="square"/>
              <a:lstStyle/>
              <a:p>
                <a:pPr>
                  <a:defRPr sz="1000" b="0" strike="noStrike" spc="-1">
                    <a:solidFill>
                      <a:srgbClr val="000000"/>
                    </a:solidFill>
                    <a:latin typeface="Calibri"/>
                    <a:ea typeface="Calibri"/>
                  </a:defRPr>
                </a:pPr>
                <a:endParaRPr lang="en-MT"/>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Reporting!$A$64:$A$69</c:f>
              <c:strCache>
                <c:ptCount val="6"/>
                <c:pt idx="0">
                  <c:v>Critical — essential service / core journey</c:v>
                </c:pt>
                <c:pt idx="1">
                  <c:v>High — frequent or revenue-impacting</c:v>
                </c:pt>
                <c:pt idx="2">
                  <c:v>Medium — important but workaround exists</c:v>
                </c:pt>
                <c:pt idx="3">
                  <c:v>Low — ancillary</c:v>
                </c:pt>
                <c:pt idx="4">
                  <c:v>Unknown / assess</c:v>
                </c:pt>
                <c:pt idx="5">
                  <c:v>Not set / other</c:v>
                </c:pt>
              </c:strCache>
            </c:strRef>
          </c:cat>
          <c:val>
            <c:numRef>
              <c:f>Reporting!$B$64:$B$69</c:f>
              <c:numCache>
                <c:formatCode>0</c:formatCode>
                <c:ptCount val="6"/>
                <c:pt idx="0">
                  <c:v>3</c:v>
                </c:pt>
                <c:pt idx="1">
                  <c:v>1</c:v>
                </c:pt>
                <c:pt idx="2">
                  <c:v>0</c:v>
                </c:pt>
                <c:pt idx="3">
                  <c:v>0</c:v>
                </c:pt>
                <c:pt idx="4">
                  <c:v>0</c:v>
                </c:pt>
                <c:pt idx="5">
                  <c:v>0</c:v>
                </c:pt>
              </c:numCache>
            </c:numRef>
          </c:val>
          <c:extLst>
            <c:ext xmlns:c16="http://schemas.microsoft.com/office/drawing/2014/chart" uri="{C3380CC4-5D6E-409C-BE32-E72D297353CC}">
              <c16:uniqueId val="{00000000-D173-4E09-A8B1-3B8E34321328}"/>
            </c:ext>
          </c:extLst>
        </c:ser>
        <c:dLbls>
          <c:showLegendKey val="0"/>
          <c:showVal val="0"/>
          <c:showCatName val="0"/>
          <c:showSerName val="0"/>
          <c:showPercent val="0"/>
          <c:showBubbleSize val="0"/>
        </c:dLbls>
        <c:gapWidth val="150"/>
        <c:axId val="70365555"/>
        <c:axId val="22448703"/>
      </c:barChart>
      <c:catAx>
        <c:axId val="70365555"/>
        <c:scaling>
          <c:orientation val="maxMin"/>
        </c:scaling>
        <c:delete val="0"/>
        <c:axPos val="l"/>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MT"/>
          </a:p>
        </c:txPr>
        <c:crossAx val="22448703"/>
        <c:crosses val="autoZero"/>
        <c:auto val="1"/>
        <c:lblAlgn val="ctr"/>
        <c:lblOffset val="100"/>
        <c:noMultiLvlLbl val="0"/>
      </c:catAx>
      <c:valAx>
        <c:axId val="22448703"/>
        <c:scaling>
          <c:orientation val="minMax"/>
        </c:scaling>
        <c:delete val="1"/>
        <c:axPos val="t"/>
        <c:numFmt formatCode="0" sourceLinked="1"/>
        <c:majorTickMark val="none"/>
        <c:minorTickMark val="none"/>
        <c:tickLblPos val="nextTo"/>
        <c:crossAx val="7036555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lang="en-GB" sz="1800" b="1" strike="noStrike" spc="-1">
                <a:solidFill>
                  <a:srgbClr val="000000"/>
                </a:solidFill>
                <a:latin typeface="Calibri"/>
                <a:ea typeface="Calibri"/>
              </a:rPr>
              <a:t>Assets by accessibility baseline</a:t>
            </a:r>
          </a:p>
        </c:rich>
      </c:tx>
      <c:overlay val="0"/>
      <c:spPr>
        <a:noFill/>
        <a:ln w="0">
          <a:noFill/>
        </a:ln>
      </c:spPr>
    </c:title>
    <c:autoTitleDeleted val="0"/>
    <c:plotArea>
      <c:layout/>
      <c:barChart>
        <c:barDir val="bar"/>
        <c:grouping val="clustered"/>
        <c:varyColors val="0"/>
        <c:ser>
          <c:idx val="0"/>
          <c:order val="0"/>
          <c:spPr>
            <a:solidFill>
              <a:srgbClr val="595959"/>
            </a:solidFill>
            <a:ln w="12600">
              <a:solidFill>
                <a:srgbClr val="595959"/>
              </a:solidFill>
              <a:round/>
            </a:ln>
          </c:spPr>
          <c:invertIfNegative val="0"/>
          <c:dLbls>
            <c:spPr>
              <a:noFill/>
              <a:ln>
                <a:noFill/>
              </a:ln>
              <a:effectLst/>
            </c:spPr>
            <c:txPr>
              <a:bodyPr wrap="square"/>
              <a:lstStyle/>
              <a:p>
                <a:pPr>
                  <a:defRPr sz="1000" b="0" strike="noStrike" spc="-1">
                    <a:solidFill>
                      <a:srgbClr val="000000"/>
                    </a:solidFill>
                    <a:latin typeface="Calibri"/>
                    <a:ea typeface="Calibri"/>
                  </a:defRPr>
                </a:pPr>
                <a:endParaRPr lang="en-MT"/>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Reporting!$A$90:$A$106</c:f>
              <c:strCache>
                <c:ptCount val="17"/>
                <c:pt idx="0">
                  <c:v>WCAG 2.2 Level AA</c:v>
                </c:pt>
                <c:pt idx="1">
                  <c:v>WCAG 2.1 Level AA</c:v>
                </c:pt>
                <c:pt idx="2">
                  <c:v>WCAG 2.0 Level AA</c:v>
                </c:pt>
                <c:pt idx="3">
                  <c:v>EN 301 549 (current applicable version)</c:v>
                </c:pt>
                <c:pt idx="4">
                  <c:v>CAN/ASC-EN 301 549:2024</c:v>
                </c:pt>
                <c:pt idx="5">
                  <c:v>Section 508 Revised Standards</c:v>
                </c:pt>
                <c:pt idx="6">
                  <c:v>RGAA (current version)</c:v>
                </c:pt>
                <c:pt idx="7">
                  <c:v>BITV 2.0</c:v>
                </c:pt>
                <c:pt idx="8">
                  <c:v>JIS X 8341-3:2016</c:v>
                </c:pt>
                <c:pt idx="9">
                  <c:v>KS 2952 (Kenya ICT Accessibility Standard)</c:v>
                </c:pt>
                <c:pt idx="10">
                  <c:v>AODA / WCAG 2.0 AA</c:v>
                </c:pt>
                <c:pt idx="11">
                  <c:v>NZ Government Web Accessibility Standard</c:v>
                </c:pt>
                <c:pt idx="12">
                  <c:v>Internal accessibility standard</c:v>
                </c:pt>
                <c:pt idx="13">
                  <c:v>Contractual/vendor accessibility standard</c:v>
                </c:pt>
                <c:pt idx="14">
                  <c:v>Platform accessibility guidance</c:v>
                </c:pt>
                <c:pt idx="15">
                  <c:v>To be determined</c:v>
                </c:pt>
                <c:pt idx="16">
                  <c:v>Not set / other</c:v>
                </c:pt>
              </c:strCache>
            </c:strRef>
          </c:cat>
          <c:val>
            <c:numRef>
              <c:f>Reporting!$B$90:$B$106</c:f>
              <c:numCache>
                <c:formatCode>0</c:formatCode>
                <c:ptCount val="17"/>
                <c:pt idx="0">
                  <c:v>2</c:v>
                </c:pt>
                <c:pt idx="1">
                  <c:v>1</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0-147B-4C35-BA6C-9E38BB2E9078}"/>
            </c:ext>
          </c:extLst>
        </c:ser>
        <c:dLbls>
          <c:showLegendKey val="0"/>
          <c:showVal val="0"/>
          <c:showCatName val="0"/>
          <c:showSerName val="0"/>
          <c:showPercent val="0"/>
          <c:showBubbleSize val="0"/>
        </c:dLbls>
        <c:gapWidth val="150"/>
        <c:axId val="97411897"/>
        <c:axId val="61455185"/>
      </c:barChart>
      <c:catAx>
        <c:axId val="97411897"/>
        <c:scaling>
          <c:orientation val="maxMin"/>
        </c:scaling>
        <c:delete val="0"/>
        <c:axPos val="l"/>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MT"/>
          </a:p>
        </c:txPr>
        <c:crossAx val="61455185"/>
        <c:crosses val="autoZero"/>
        <c:auto val="1"/>
        <c:lblAlgn val="ctr"/>
        <c:lblOffset val="100"/>
        <c:noMultiLvlLbl val="0"/>
      </c:catAx>
      <c:valAx>
        <c:axId val="61455185"/>
        <c:scaling>
          <c:orientation val="minMax"/>
        </c:scaling>
        <c:delete val="1"/>
        <c:axPos val="t"/>
        <c:numFmt formatCode="0" sourceLinked="1"/>
        <c:majorTickMark val="none"/>
        <c:minorTickMark val="none"/>
        <c:tickLblPos val="nextTo"/>
        <c:crossAx val="9741189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lang="en-GB" sz="1800" b="1" strike="noStrike" spc="-1">
                <a:solidFill>
                  <a:srgbClr val="000000"/>
                </a:solidFill>
                <a:latin typeface="Calibri"/>
                <a:ea typeface="Calibri"/>
              </a:rPr>
              <a:t>Exception / exemption status</a:t>
            </a:r>
          </a:p>
        </c:rich>
      </c:tx>
      <c:overlay val="0"/>
      <c:spPr>
        <a:noFill/>
        <a:ln w="0">
          <a:noFill/>
        </a:ln>
      </c:spPr>
    </c:title>
    <c:autoTitleDeleted val="0"/>
    <c:plotArea>
      <c:layout/>
      <c:barChart>
        <c:barDir val="bar"/>
        <c:grouping val="clustered"/>
        <c:varyColors val="0"/>
        <c:ser>
          <c:idx val="0"/>
          <c:order val="0"/>
          <c:spPr>
            <a:solidFill>
              <a:srgbClr val="595959"/>
            </a:solidFill>
            <a:ln w="12600">
              <a:solidFill>
                <a:srgbClr val="595959"/>
              </a:solidFill>
              <a:round/>
            </a:ln>
          </c:spPr>
          <c:invertIfNegative val="0"/>
          <c:dLbls>
            <c:spPr>
              <a:noFill/>
              <a:ln>
                <a:noFill/>
              </a:ln>
              <a:effectLst/>
            </c:spPr>
            <c:txPr>
              <a:bodyPr wrap="square"/>
              <a:lstStyle/>
              <a:p>
                <a:pPr>
                  <a:defRPr sz="1000" b="0" strike="noStrike" spc="-1">
                    <a:solidFill>
                      <a:srgbClr val="000000"/>
                    </a:solidFill>
                    <a:latin typeface="Calibri"/>
                    <a:ea typeface="Calibri"/>
                  </a:defRPr>
                </a:pPr>
                <a:endParaRPr lang="en-MT"/>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Reporting!$A$111:$A$123</c:f>
              <c:strCache>
                <c:ptCount val="13"/>
                <c:pt idx="0">
                  <c:v>None identified</c:v>
                </c:pt>
                <c:pt idx="1">
                  <c:v>Potential exemption / exception — legal review</c:v>
                </c:pt>
                <c:pt idx="2">
                  <c:v>Exemption / exception applies — documented</c:v>
                </c:pt>
                <c:pt idx="3">
                  <c:v>Disproportionate / undue burden claimed</c:v>
                </c:pt>
                <c:pt idx="4">
                  <c:v>Fundamental alteration claimed</c:v>
                </c:pt>
                <c:pt idx="5">
                  <c:v>Legacy / archived content exclusion</c:v>
                </c:pt>
                <c:pt idx="6">
                  <c:v>Microenterprise / small-provider exemption</c:v>
                </c:pt>
                <c:pt idx="7">
                  <c:v>Third-party content exception</c:v>
                </c:pt>
                <c:pt idx="8">
                  <c:v>Alternative accessible format / method used</c:v>
                </c:pt>
                <c:pt idx="9">
                  <c:v>Temporary exception with remediation date</c:v>
                </c:pt>
                <c:pt idx="10">
                  <c:v>Not applicable</c:v>
                </c:pt>
                <c:pt idx="11">
                  <c:v>Unknown / pending review</c:v>
                </c:pt>
                <c:pt idx="12">
                  <c:v>Not set / other</c:v>
                </c:pt>
              </c:strCache>
            </c:strRef>
          </c:cat>
          <c:val>
            <c:numRef>
              <c:f>Reporting!$B$111:$B$123</c:f>
              <c:numCache>
                <c:formatCode>0</c:formatCode>
                <c:ptCount val="13"/>
                <c:pt idx="0">
                  <c:v>1</c:v>
                </c:pt>
                <c:pt idx="1">
                  <c:v>2</c:v>
                </c:pt>
                <c:pt idx="2">
                  <c:v>0</c:v>
                </c:pt>
                <c:pt idx="3">
                  <c:v>0</c:v>
                </c:pt>
                <c:pt idx="4">
                  <c:v>0</c:v>
                </c:pt>
                <c:pt idx="5">
                  <c:v>0</c:v>
                </c:pt>
                <c:pt idx="6">
                  <c:v>0</c:v>
                </c:pt>
                <c:pt idx="7">
                  <c:v>0</c:v>
                </c:pt>
                <c:pt idx="8">
                  <c:v>0</c:v>
                </c:pt>
                <c:pt idx="9">
                  <c:v>0</c:v>
                </c:pt>
                <c:pt idx="10">
                  <c:v>0</c:v>
                </c:pt>
                <c:pt idx="11">
                  <c:v>1</c:v>
                </c:pt>
                <c:pt idx="12">
                  <c:v>0</c:v>
                </c:pt>
              </c:numCache>
            </c:numRef>
          </c:val>
          <c:extLst>
            <c:ext xmlns:c16="http://schemas.microsoft.com/office/drawing/2014/chart" uri="{C3380CC4-5D6E-409C-BE32-E72D297353CC}">
              <c16:uniqueId val="{00000000-31FA-4E74-A743-17DFE40072A9}"/>
            </c:ext>
          </c:extLst>
        </c:ser>
        <c:dLbls>
          <c:showLegendKey val="0"/>
          <c:showVal val="0"/>
          <c:showCatName val="0"/>
          <c:showSerName val="0"/>
          <c:showPercent val="0"/>
          <c:showBubbleSize val="0"/>
        </c:dLbls>
        <c:gapWidth val="150"/>
        <c:axId val="22795949"/>
        <c:axId val="80827232"/>
      </c:barChart>
      <c:catAx>
        <c:axId val="22795949"/>
        <c:scaling>
          <c:orientation val="maxMin"/>
        </c:scaling>
        <c:delete val="0"/>
        <c:axPos val="l"/>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MT"/>
          </a:p>
        </c:txPr>
        <c:crossAx val="80827232"/>
        <c:crosses val="autoZero"/>
        <c:auto val="1"/>
        <c:lblAlgn val="ctr"/>
        <c:lblOffset val="100"/>
        <c:noMultiLvlLbl val="0"/>
      </c:catAx>
      <c:valAx>
        <c:axId val="80827232"/>
        <c:scaling>
          <c:orientation val="minMax"/>
        </c:scaling>
        <c:delete val="1"/>
        <c:axPos val="t"/>
        <c:numFmt formatCode="0" sourceLinked="1"/>
        <c:majorTickMark val="none"/>
        <c:minorTickMark val="none"/>
        <c:tickLblPos val="nextTo"/>
        <c:crossAx val="2279594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lang="en-GB" sz="1800" b="1" strike="noStrike" spc="-1">
                <a:solidFill>
                  <a:srgbClr val="000000"/>
                </a:solidFill>
                <a:latin typeface="Calibri"/>
                <a:ea typeface="Calibri"/>
              </a:rPr>
              <a:t>Verification method</a:t>
            </a:r>
          </a:p>
        </c:rich>
      </c:tx>
      <c:overlay val="0"/>
      <c:spPr>
        <a:noFill/>
        <a:ln w="0">
          <a:noFill/>
        </a:ln>
      </c:spPr>
    </c:title>
    <c:autoTitleDeleted val="0"/>
    <c:plotArea>
      <c:layout/>
      <c:barChart>
        <c:barDir val="bar"/>
        <c:grouping val="clustered"/>
        <c:varyColors val="0"/>
        <c:ser>
          <c:idx val="0"/>
          <c:order val="0"/>
          <c:spPr>
            <a:solidFill>
              <a:srgbClr val="595959"/>
            </a:solidFill>
            <a:ln w="12600">
              <a:solidFill>
                <a:srgbClr val="595959"/>
              </a:solidFill>
              <a:round/>
            </a:ln>
          </c:spPr>
          <c:invertIfNegative val="0"/>
          <c:dLbls>
            <c:spPr>
              <a:noFill/>
              <a:ln>
                <a:noFill/>
              </a:ln>
              <a:effectLst/>
            </c:spPr>
            <c:txPr>
              <a:bodyPr wrap="square"/>
              <a:lstStyle/>
              <a:p>
                <a:pPr>
                  <a:defRPr sz="1000" b="0" strike="noStrike" spc="-1">
                    <a:solidFill>
                      <a:srgbClr val="000000"/>
                    </a:solidFill>
                    <a:latin typeface="Calibri"/>
                    <a:ea typeface="Calibri"/>
                  </a:defRPr>
                </a:pPr>
                <a:endParaRPr lang="en-MT"/>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Reporting!$A$128:$A$145</c:f>
              <c:strCache>
                <c:ptCount val="18"/>
                <c:pt idx="0">
                  <c:v>Automated accessibility tests</c:v>
                </c:pt>
                <c:pt idx="1">
                  <c:v>Manual keyboard testing</c:v>
                </c:pt>
                <c:pt idx="2">
                  <c:v>Screen reader testing</c:v>
                </c:pt>
                <c:pt idx="3">
                  <c:v>Zoom / reflow testing</c:v>
                </c:pt>
                <c:pt idx="4">
                  <c:v>Colour / contrast review</c:v>
                </c:pt>
                <c:pt idx="5">
                  <c:v>Design review</c:v>
                </c:pt>
                <c:pt idx="6">
                  <c:v>Code review</c:v>
                </c:pt>
                <c:pt idx="7">
                  <c:v>Component-level accessibility tests</c:v>
                </c:pt>
                <c:pt idx="8">
                  <c:v>End-to-end accessibility tests</c:v>
                </c:pt>
                <c:pt idx="9">
                  <c:v>Expert audit</c:v>
                </c:pt>
                <c:pt idx="10">
                  <c:v>Testing with disabled users</c:v>
                </c:pt>
                <c:pt idx="11">
                  <c:v>Vendor accessibility evidence</c:v>
                </c:pt>
                <c:pt idx="12">
                  <c:v>VPAT / ACR review</c:v>
                </c:pt>
                <c:pt idx="13">
                  <c:v>Accessibility statement / conformance report</c:v>
                </c:pt>
                <c:pt idx="14">
                  <c:v>Procurement acceptance testing</c:v>
                </c:pt>
                <c:pt idx="15">
                  <c:v>Combination of methods</c:v>
                </c:pt>
                <c:pt idx="16">
                  <c:v>Not yet defined</c:v>
                </c:pt>
                <c:pt idx="17">
                  <c:v>Not set / other</c:v>
                </c:pt>
              </c:strCache>
            </c:strRef>
          </c:cat>
          <c:val>
            <c:numRef>
              <c:f>Reporting!$B$128:$B$145</c:f>
              <c:numCache>
                <c:formatCode>0</c:formatCode>
                <c:ptCount val="18"/>
                <c:pt idx="0">
                  <c:v>0</c:v>
                </c:pt>
                <c:pt idx="1">
                  <c:v>0</c:v>
                </c:pt>
                <c:pt idx="2">
                  <c:v>0</c:v>
                </c:pt>
                <c:pt idx="3">
                  <c:v>0</c:v>
                </c:pt>
                <c:pt idx="4">
                  <c:v>0</c:v>
                </c:pt>
                <c:pt idx="5">
                  <c:v>0</c:v>
                </c:pt>
                <c:pt idx="6">
                  <c:v>0</c:v>
                </c:pt>
                <c:pt idx="7">
                  <c:v>0</c:v>
                </c:pt>
                <c:pt idx="8">
                  <c:v>0</c:v>
                </c:pt>
                <c:pt idx="9">
                  <c:v>1</c:v>
                </c:pt>
                <c:pt idx="10">
                  <c:v>0</c:v>
                </c:pt>
                <c:pt idx="11">
                  <c:v>1</c:v>
                </c:pt>
                <c:pt idx="12">
                  <c:v>0</c:v>
                </c:pt>
                <c:pt idx="13">
                  <c:v>0</c:v>
                </c:pt>
                <c:pt idx="14">
                  <c:v>0</c:v>
                </c:pt>
                <c:pt idx="15">
                  <c:v>2</c:v>
                </c:pt>
                <c:pt idx="16">
                  <c:v>0</c:v>
                </c:pt>
                <c:pt idx="17">
                  <c:v>0</c:v>
                </c:pt>
              </c:numCache>
            </c:numRef>
          </c:val>
          <c:extLst>
            <c:ext xmlns:c16="http://schemas.microsoft.com/office/drawing/2014/chart" uri="{C3380CC4-5D6E-409C-BE32-E72D297353CC}">
              <c16:uniqueId val="{00000000-D939-4BC1-87A9-0CFD88BEC2AF}"/>
            </c:ext>
          </c:extLst>
        </c:ser>
        <c:dLbls>
          <c:showLegendKey val="0"/>
          <c:showVal val="0"/>
          <c:showCatName val="0"/>
          <c:showSerName val="0"/>
          <c:showPercent val="0"/>
          <c:showBubbleSize val="0"/>
        </c:dLbls>
        <c:gapWidth val="150"/>
        <c:axId val="9706204"/>
        <c:axId val="76084529"/>
      </c:barChart>
      <c:catAx>
        <c:axId val="9706204"/>
        <c:scaling>
          <c:orientation val="maxMin"/>
        </c:scaling>
        <c:delete val="0"/>
        <c:axPos val="l"/>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MT"/>
          </a:p>
        </c:txPr>
        <c:crossAx val="76084529"/>
        <c:crosses val="autoZero"/>
        <c:auto val="1"/>
        <c:lblAlgn val="ctr"/>
        <c:lblOffset val="100"/>
        <c:noMultiLvlLbl val="0"/>
      </c:catAx>
      <c:valAx>
        <c:axId val="76084529"/>
        <c:scaling>
          <c:orientation val="minMax"/>
        </c:scaling>
        <c:delete val="1"/>
        <c:axPos val="t"/>
        <c:numFmt formatCode="0" sourceLinked="1"/>
        <c:majorTickMark val="none"/>
        <c:minorTickMark val="none"/>
        <c:tickLblPos val="nextTo"/>
        <c:crossAx val="970620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lang="en-GB" sz="1800" b="1" strike="noStrike" spc="-1">
                <a:solidFill>
                  <a:srgbClr val="000000"/>
                </a:solidFill>
                <a:latin typeface="Calibri"/>
                <a:ea typeface="Calibri"/>
              </a:rPr>
              <a:t>Regime references by region</a:t>
            </a:r>
          </a:p>
        </c:rich>
      </c:tx>
      <c:overlay val="0"/>
      <c:spPr>
        <a:noFill/>
        <a:ln w="0">
          <a:noFill/>
        </a:ln>
      </c:spPr>
    </c:title>
    <c:autoTitleDeleted val="0"/>
    <c:plotArea>
      <c:layout/>
      <c:barChart>
        <c:barDir val="bar"/>
        <c:grouping val="clustered"/>
        <c:varyColors val="0"/>
        <c:ser>
          <c:idx val="0"/>
          <c:order val="0"/>
          <c:spPr>
            <a:solidFill>
              <a:srgbClr val="595959"/>
            </a:solidFill>
            <a:ln w="12600">
              <a:solidFill>
                <a:srgbClr val="595959"/>
              </a:solidFill>
              <a:round/>
            </a:ln>
          </c:spPr>
          <c:invertIfNegative val="0"/>
          <c:dLbls>
            <c:spPr>
              <a:noFill/>
              <a:ln>
                <a:noFill/>
              </a:ln>
              <a:effectLst/>
            </c:spPr>
            <c:txPr>
              <a:bodyPr wrap="square"/>
              <a:lstStyle/>
              <a:p>
                <a:pPr>
                  <a:defRPr sz="1000" b="0" strike="noStrike" spc="-1">
                    <a:solidFill>
                      <a:srgbClr val="000000"/>
                    </a:solidFill>
                    <a:latin typeface="Calibri"/>
                    <a:ea typeface="Calibri"/>
                  </a:defRPr>
                </a:pPr>
                <a:endParaRPr lang="en-MT"/>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Reporting!$A$231:$A$237</c:f>
              <c:strCache>
                <c:ptCount val="7"/>
                <c:pt idx="0">
                  <c:v>Europe</c:v>
                </c:pt>
                <c:pt idx="1">
                  <c:v>North America</c:v>
                </c:pt>
                <c:pt idx="2">
                  <c:v>Oceania</c:v>
                </c:pt>
                <c:pt idx="3">
                  <c:v>Asia</c:v>
                </c:pt>
                <c:pt idx="4">
                  <c:v>Middle East</c:v>
                </c:pt>
                <c:pt idx="5">
                  <c:v>South America</c:v>
                </c:pt>
                <c:pt idx="6">
                  <c:v>Africa</c:v>
                </c:pt>
              </c:strCache>
            </c:strRef>
          </c:cat>
          <c:val>
            <c:numRef>
              <c:f>Reporting!$B$231:$B$237</c:f>
              <c:numCache>
                <c:formatCode>0</c:formatCode>
                <c:ptCount val="7"/>
                <c:pt idx="0">
                  <c:v>4</c:v>
                </c:pt>
                <c:pt idx="1">
                  <c:v>1</c:v>
                </c:pt>
                <c:pt idx="2">
                  <c:v>0</c:v>
                </c:pt>
                <c:pt idx="3">
                  <c:v>0</c:v>
                </c:pt>
                <c:pt idx="4">
                  <c:v>0</c:v>
                </c:pt>
                <c:pt idx="5">
                  <c:v>0</c:v>
                </c:pt>
                <c:pt idx="6">
                  <c:v>0</c:v>
                </c:pt>
              </c:numCache>
            </c:numRef>
          </c:val>
          <c:extLst>
            <c:ext xmlns:c16="http://schemas.microsoft.com/office/drawing/2014/chart" uri="{C3380CC4-5D6E-409C-BE32-E72D297353CC}">
              <c16:uniqueId val="{00000000-277B-4A5F-9B9A-2C1D53398757}"/>
            </c:ext>
          </c:extLst>
        </c:ser>
        <c:dLbls>
          <c:showLegendKey val="0"/>
          <c:showVal val="0"/>
          <c:showCatName val="0"/>
          <c:showSerName val="0"/>
          <c:showPercent val="0"/>
          <c:showBubbleSize val="0"/>
        </c:dLbls>
        <c:gapWidth val="150"/>
        <c:axId val="28572145"/>
        <c:axId val="82881961"/>
      </c:barChart>
      <c:catAx>
        <c:axId val="28572145"/>
        <c:scaling>
          <c:orientation val="maxMin"/>
        </c:scaling>
        <c:delete val="0"/>
        <c:axPos val="l"/>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MT"/>
          </a:p>
        </c:txPr>
        <c:crossAx val="82881961"/>
        <c:crosses val="autoZero"/>
        <c:auto val="1"/>
        <c:lblAlgn val="ctr"/>
        <c:lblOffset val="100"/>
        <c:noMultiLvlLbl val="0"/>
      </c:catAx>
      <c:valAx>
        <c:axId val="82881961"/>
        <c:scaling>
          <c:orientation val="minMax"/>
        </c:scaling>
        <c:delete val="1"/>
        <c:axPos val="t"/>
        <c:numFmt formatCode="0" sourceLinked="1"/>
        <c:majorTickMark val="none"/>
        <c:minorTickMark val="none"/>
        <c:tickLblPos val="nextTo"/>
        <c:crossAx val="2857214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26</xdr:row>
      <xdr:rowOff>160920</xdr:rowOff>
    </xdr:from>
    <xdr:to>
      <xdr:col>12</xdr:col>
      <xdr:colOff>480960</xdr:colOff>
      <xdr:row>34</xdr:row>
      <xdr:rowOff>184320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35</xdr:row>
      <xdr:rowOff>160560</xdr:rowOff>
    </xdr:from>
    <xdr:to>
      <xdr:col>12</xdr:col>
      <xdr:colOff>480960</xdr:colOff>
      <xdr:row>58</xdr:row>
      <xdr:rowOff>98640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0</xdr:colOff>
      <xdr:row>60</xdr:row>
      <xdr:rowOff>160560</xdr:rowOff>
    </xdr:from>
    <xdr:to>
      <xdr:col>12</xdr:col>
      <xdr:colOff>480960</xdr:colOff>
      <xdr:row>69</xdr:row>
      <xdr:rowOff>65880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0</xdr:colOff>
      <xdr:row>86</xdr:row>
      <xdr:rowOff>160920</xdr:rowOff>
    </xdr:from>
    <xdr:to>
      <xdr:col>12</xdr:col>
      <xdr:colOff>480960</xdr:colOff>
      <xdr:row>106</xdr:row>
      <xdr:rowOff>130320</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0</xdr:colOff>
      <xdr:row>107</xdr:row>
      <xdr:rowOff>160560</xdr:rowOff>
    </xdr:from>
    <xdr:to>
      <xdr:col>12</xdr:col>
      <xdr:colOff>480960</xdr:colOff>
      <xdr:row>122</xdr:row>
      <xdr:rowOff>182880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0</xdr:colOff>
      <xdr:row>124</xdr:row>
      <xdr:rowOff>160560</xdr:rowOff>
    </xdr:from>
    <xdr:to>
      <xdr:col>12</xdr:col>
      <xdr:colOff>480960</xdr:colOff>
      <xdr:row>144</xdr:row>
      <xdr:rowOff>130320</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0</xdr:colOff>
      <xdr:row>227</xdr:row>
      <xdr:rowOff>160560</xdr:rowOff>
    </xdr:from>
    <xdr:to>
      <xdr:col>12</xdr:col>
      <xdr:colOff>480960</xdr:colOff>
      <xdr:row>238</xdr:row>
      <xdr:rowOff>44640</xdr:rowOff>
    </xdr:to>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ccessibilityInventoryTable" displayName="AccessibilityInventoryTable" ref="A1:U250" totalsRowShown="0">
  <tableColumns count="21">
    <tableColumn id="1" xr3:uid="{00000000-0010-0000-0000-000001000000}" name="Asset / technology"/>
    <tableColumn id="2" xr3:uid="{00000000-0010-0000-0000-000002000000}" name="Description / example"/>
    <tableColumn id="3" xr3:uid="{00000000-0010-0000-0000-000003000000}" name="Category"/>
    <tableColumn id="4" xr3:uid="{00000000-0010-0000-0000-000004000000}" name="Product scope"/>
    <tableColumn id="5" xr3:uid="{00000000-0010-0000-0000-000005000000}" name="Platform"/>
    <tableColumn id="6" xr3:uid="{00000000-0010-0000-0000-000006000000}" name="Audience"/>
    <tableColumn id="7" xr3:uid="{00000000-0010-0000-0000-000007000000}" name="Lifecycle"/>
    <tableColumn id="8" xr3:uid="{00000000-0010-0000-0000-000008000000}" name="Scope status"/>
    <tableColumn id="9" xr3:uid="{00000000-0010-0000-0000-000009000000}" name="Primary legal / policy"/>
    <tableColumn id="10" xr3:uid="{00000000-0010-0000-0000-00000A000000}" name="Additional legal / policy 1"/>
    <tableColumn id="11" xr3:uid="{00000000-0010-0000-0000-00000B000000}" name="Additional legal / policy 2"/>
    <tableColumn id="12" xr3:uid="{00000000-0010-0000-0000-00000C000000}" name="Accessibility baseline"/>
    <tableColumn id="13" xr3:uid="{00000000-0010-0000-0000-00000D000000}" name="Exception / exemption status"/>
    <tableColumn id="14" xr3:uid="{00000000-0010-0000-0000-00000E000000}" name="Exception / exemption basis"/>
    <tableColumn id="15" xr3:uid="{00000000-0010-0000-0000-00000F000000}" name="Primary owner / team"/>
    <tableColumn id="16" xr3:uid="{00000000-0010-0000-0000-000010000000}" name="Supporting owner / team"/>
    <tableColumn id="17" xr3:uid="{00000000-0010-0000-0000-000011000000}" name="Verification method"/>
    <tableColumn id="18" xr3:uid="{00000000-0010-0000-0000-000012000000}" name="Criticality"/>
    <tableColumn id="19" xr3:uid="{00000000-0010-0000-0000-000013000000}" name="Dependency / vendor"/>
    <tableColumn id="20" xr3:uid="{00000000-0010-0000-0000-000014000000}" name="Target / review date"/>
    <tableColumn id="21" xr3:uid="{00000000-0010-0000-0000-000015000000}" name="Note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egalRegisterTable" displayName="LegalRegisterTable" ref="A1:J44" totalsRowShown="0">
  <tableColumns count="10">
    <tableColumn id="1" xr3:uid="{00000000-0010-0000-0100-000001000000}" name="Region"/>
    <tableColumn id="2" xr3:uid="{00000000-0010-0000-0100-000002000000}" name="Jurisdiction"/>
    <tableColumn id="3" xr3:uid="{00000000-0010-0000-0100-000003000000}" name="Parent framework"/>
    <tableColumn id="4" xr3:uid="{00000000-0010-0000-0100-000004000000}" name="Law / policy / standard"/>
    <tableColumn id="5" xr3:uid="{00000000-0010-0000-0100-000005000000}" name="Instrument type"/>
    <tableColumn id="6" xr3:uid="{00000000-0010-0000-0100-000006000000}" name="Typical scope"/>
    <tableColumn id="7" xr3:uid="{00000000-0010-0000-0100-000007000000}" name="Technical baseline / reference"/>
    <tableColumn id="8" xr3:uid="{00000000-0010-0000-0100-000008000000}" name="Key exemptions / exceptions (summary)"/>
    <tableColumn id="9" xr3:uid="{00000000-0010-0000-0100-000009000000}" name="Relationship / implementation notes"/>
    <tableColumn id="10" xr3:uid="{00000000-0010-0000-0100-00000A000000}" name="Official / authoritative source"/>
  </tableColumns>
  <tableStyleInfo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architecting-accessibility/boo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tabSelected="1" zoomScaleNormal="100" workbookViewId="0">
      <selection activeCell="A3" sqref="A3"/>
    </sheetView>
  </sheetViews>
  <sheetFormatPr defaultColWidth="8.68359375" defaultRowHeight="14.4" x14ac:dyDescent="0.55000000000000004"/>
  <cols>
    <col min="1" max="1" width="24" customWidth="1"/>
    <col min="2" max="2" width="95" customWidth="1"/>
  </cols>
  <sheetData>
    <row r="1" spans="1:2" ht="17.7" x14ac:dyDescent="0.55000000000000004">
      <c r="A1" s="29" t="s">
        <v>662</v>
      </c>
      <c r="B1" s="29"/>
    </row>
    <row r="2" spans="1:2" ht="15" customHeight="1" x14ac:dyDescent="0.55000000000000004">
      <c r="A2" s="30" t="s">
        <v>661</v>
      </c>
      <c r="B2" s="30"/>
    </row>
    <row r="3" spans="1:2" ht="28.5" customHeight="1" x14ac:dyDescent="0.55000000000000004">
      <c r="A3" s="1" t="s">
        <v>0</v>
      </c>
      <c r="B3" s="2" t="s">
        <v>1</v>
      </c>
    </row>
    <row r="4" spans="1:2" ht="28.5" customHeight="1" x14ac:dyDescent="0.55000000000000004">
      <c r="A4" s="1" t="s">
        <v>2</v>
      </c>
      <c r="B4" s="2" t="s">
        <v>3</v>
      </c>
    </row>
    <row r="5" spans="1:2" ht="28.5" customHeight="1" x14ac:dyDescent="0.55000000000000004">
      <c r="A5" s="1" t="s">
        <v>4</v>
      </c>
      <c r="B5" s="28" t="s">
        <v>5</v>
      </c>
    </row>
    <row r="6" spans="1:2" ht="28.5" customHeight="1" x14ac:dyDescent="0.55000000000000004">
      <c r="A6" s="1" t="s">
        <v>6</v>
      </c>
      <c r="B6" s="2" t="s">
        <v>7</v>
      </c>
    </row>
    <row r="7" spans="1:2" x14ac:dyDescent="0.55000000000000004">
      <c r="A7" s="1" t="s">
        <v>8</v>
      </c>
      <c r="B7" s="2" t="s">
        <v>9</v>
      </c>
    </row>
    <row r="8" spans="1:2" x14ac:dyDescent="0.55000000000000004">
      <c r="A8" s="1" t="s">
        <v>10</v>
      </c>
      <c r="B8" s="2" t="s">
        <v>11</v>
      </c>
    </row>
    <row r="9" spans="1:2" ht="28.5" customHeight="1" x14ac:dyDescent="0.55000000000000004">
      <c r="A9" s="1" t="s">
        <v>12</v>
      </c>
      <c r="B9" s="2" t="s">
        <v>13</v>
      </c>
    </row>
    <row r="10" spans="1:2" x14ac:dyDescent="0.55000000000000004">
      <c r="A10" s="1" t="s">
        <v>14</v>
      </c>
      <c r="B10" s="2" t="s">
        <v>15</v>
      </c>
    </row>
    <row r="11" spans="1:2" ht="28.8" x14ac:dyDescent="0.55000000000000004">
      <c r="A11" s="1" t="s">
        <v>16</v>
      </c>
      <c r="B11" s="3" t="s">
        <v>17</v>
      </c>
    </row>
    <row r="12" spans="1:2" ht="28.8" x14ac:dyDescent="0.55000000000000004">
      <c r="A12" s="1" t="s">
        <v>18</v>
      </c>
      <c r="B12" s="3" t="s">
        <v>19</v>
      </c>
    </row>
    <row r="13" spans="1:2" ht="28.8" x14ac:dyDescent="0.55000000000000004">
      <c r="A13" s="1" t="s">
        <v>20</v>
      </c>
      <c r="B13" s="3" t="s">
        <v>21</v>
      </c>
    </row>
  </sheetData>
  <mergeCells count="2">
    <mergeCell ref="A1:B1"/>
    <mergeCell ref="A2:B2"/>
  </mergeCells>
  <hyperlinks>
    <hyperlink ref="A2" r:id="rId1" xr:uid="{2E7D2C66-0017-4524-81A9-4061F76BB11C}"/>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50"/>
  <sheetViews>
    <sheetView zoomScaleNormal="100" workbookViewId="0">
      <pane xSplit="1" ySplit="1" topLeftCell="B2" activePane="bottomRight" state="frozen"/>
      <selection pane="topRight" activeCell="B1" sqref="B1"/>
      <selection pane="bottomLeft" activeCell="A2" sqref="A2"/>
      <selection pane="bottomRight" activeCell="U5" sqref="U5"/>
    </sheetView>
  </sheetViews>
  <sheetFormatPr defaultColWidth="8.68359375" defaultRowHeight="14.4" x14ac:dyDescent="0.55000000000000004"/>
  <cols>
    <col min="1" max="1" width="28" customWidth="1"/>
    <col min="2" max="2" width="42" customWidth="1"/>
    <col min="3" max="3" width="26" customWidth="1"/>
    <col min="4" max="6" width="24" customWidth="1"/>
    <col min="7" max="7" width="22" customWidth="1"/>
    <col min="8" max="8" width="24" customWidth="1"/>
    <col min="9" max="11" width="58" customWidth="1"/>
    <col min="12" max="12" width="34" customWidth="1"/>
    <col min="13" max="13" width="30" customWidth="1"/>
    <col min="14" max="14" width="40" customWidth="1"/>
    <col min="15" max="19" width="26" customWidth="1"/>
    <col min="20" max="20" width="14" customWidth="1"/>
    <col min="21" max="21" width="40" customWidth="1"/>
  </cols>
  <sheetData>
    <row r="1" spans="1:21" ht="31.5" customHeight="1" x14ac:dyDescent="0.55000000000000004">
      <c r="A1" s="4" t="s">
        <v>22</v>
      </c>
      <c r="B1" s="4" t="s">
        <v>23</v>
      </c>
      <c r="C1" s="4" t="s">
        <v>24</v>
      </c>
      <c r="D1" s="4" t="s">
        <v>25</v>
      </c>
      <c r="E1" s="4" t="s">
        <v>26</v>
      </c>
      <c r="F1" s="4" t="s">
        <v>27</v>
      </c>
      <c r="G1" s="4" t="s">
        <v>28</v>
      </c>
      <c r="H1" s="4" t="s">
        <v>29</v>
      </c>
      <c r="I1" s="4" t="s">
        <v>30</v>
      </c>
      <c r="J1" s="4" t="s">
        <v>31</v>
      </c>
      <c r="K1" s="4" t="s">
        <v>32</v>
      </c>
      <c r="L1" s="4" t="s">
        <v>33</v>
      </c>
      <c r="M1" s="4" t="s">
        <v>34</v>
      </c>
      <c r="N1" s="4" t="s">
        <v>35</v>
      </c>
      <c r="O1" s="4" t="s">
        <v>36</v>
      </c>
      <c r="P1" s="4" t="s">
        <v>37</v>
      </c>
      <c r="Q1" s="4" t="s">
        <v>38</v>
      </c>
      <c r="R1" s="4" t="s">
        <v>39</v>
      </c>
      <c r="S1" s="4" t="s">
        <v>40</v>
      </c>
      <c r="T1" s="4" t="s">
        <v>41</v>
      </c>
      <c r="U1" s="4" t="s">
        <v>42</v>
      </c>
    </row>
    <row r="2" spans="1:21" ht="28.5" customHeight="1" x14ac:dyDescent="0.55000000000000004">
      <c r="A2" s="5" t="s">
        <v>43</v>
      </c>
      <c r="B2" s="5" t="s">
        <v>44</v>
      </c>
      <c r="C2" s="5" t="s">
        <v>45</v>
      </c>
      <c r="D2" s="5" t="s">
        <v>46</v>
      </c>
      <c r="E2" s="5" t="s">
        <v>47</v>
      </c>
      <c r="F2" s="5" t="s">
        <v>48</v>
      </c>
      <c r="G2" s="5" t="s">
        <v>49</v>
      </c>
      <c r="H2" s="5" t="s">
        <v>50</v>
      </c>
      <c r="I2" s="5" t="s">
        <v>51</v>
      </c>
      <c r="J2" s="5"/>
      <c r="K2" s="5"/>
      <c r="L2" s="5" t="s">
        <v>52</v>
      </c>
      <c r="M2" s="5" t="s">
        <v>53</v>
      </c>
      <c r="N2" s="5"/>
      <c r="O2" s="5" t="s">
        <v>54</v>
      </c>
      <c r="P2" s="5" t="s">
        <v>55</v>
      </c>
      <c r="Q2" s="5" t="s">
        <v>56</v>
      </c>
      <c r="R2" s="5" t="s">
        <v>57</v>
      </c>
      <c r="S2" s="5" t="s">
        <v>58</v>
      </c>
      <c r="T2" s="6"/>
      <c r="U2" s="5" t="s">
        <v>59</v>
      </c>
    </row>
    <row r="3" spans="1:21" ht="28.5" customHeight="1" x14ac:dyDescent="0.55000000000000004">
      <c r="A3" s="5" t="s">
        <v>60</v>
      </c>
      <c r="B3" s="5" t="s">
        <v>61</v>
      </c>
      <c r="C3" s="5" t="s">
        <v>62</v>
      </c>
      <c r="D3" s="5" t="s">
        <v>63</v>
      </c>
      <c r="E3" s="5" t="s">
        <v>47</v>
      </c>
      <c r="F3" s="5" t="s">
        <v>48</v>
      </c>
      <c r="G3" s="5" t="s">
        <v>64</v>
      </c>
      <c r="H3" s="5" t="s">
        <v>50</v>
      </c>
      <c r="I3" s="5" t="s">
        <v>65</v>
      </c>
      <c r="J3" s="5"/>
      <c r="K3" s="5"/>
      <c r="L3" s="5" t="s">
        <v>66</v>
      </c>
      <c r="M3" s="5" t="s">
        <v>67</v>
      </c>
      <c r="N3" s="5" t="s">
        <v>68</v>
      </c>
      <c r="O3" s="5" t="s">
        <v>69</v>
      </c>
      <c r="P3" s="5" t="s">
        <v>54</v>
      </c>
      <c r="Q3" s="5" t="s">
        <v>70</v>
      </c>
      <c r="R3" s="5" t="s">
        <v>57</v>
      </c>
      <c r="S3" s="5" t="s">
        <v>71</v>
      </c>
      <c r="T3" s="6"/>
      <c r="U3" s="5" t="s">
        <v>72</v>
      </c>
    </row>
    <row r="4" spans="1:21" ht="24.6" x14ac:dyDescent="0.55000000000000004">
      <c r="A4" s="5" t="s">
        <v>73</v>
      </c>
      <c r="B4" s="5" t="s">
        <v>74</v>
      </c>
      <c r="C4" s="5" t="s">
        <v>75</v>
      </c>
      <c r="D4" s="5" t="s">
        <v>76</v>
      </c>
      <c r="E4" s="5" t="s">
        <v>47</v>
      </c>
      <c r="F4" s="5" t="s">
        <v>77</v>
      </c>
      <c r="G4" s="5" t="s">
        <v>49</v>
      </c>
      <c r="H4" s="5" t="s">
        <v>78</v>
      </c>
      <c r="I4" s="5" t="s">
        <v>205</v>
      </c>
      <c r="J4" s="5"/>
      <c r="K4" s="5"/>
      <c r="L4" s="5" t="s">
        <v>52</v>
      </c>
      <c r="M4" s="5" t="s">
        <v>80</v>
      </c>
      <c r="N4" s="5" t="s">
        <v>81</v>
      </c>
      <c r="O4" s="5" t="s">
        <v>82</v>
      </c>
      <c r="P4" s="5" t="s">
        <v>83</v>
      </c>
      <c r="Q4" s="5" t="s">
        <v>56</v>
      </c>
      <c r="R4" s="5" t="s">
        <v>84</v>
      </c>
      <c r="S4" s="5" t="s">
        <v>85</v>
      </c>
      <c r="T4" s="6"/>
      <c r="U4" s="5" t="s">
        <v>86</v>
      </c>
    </row>
    <row r="5" spans="1:21" ht="28.5" customHeight="1" x14ac:dyDescent="0.55000000000000004">
      <c r="A5" s="5" t="s">
        <v>87</v>
      </c>
      <c r="B5" s="5" t="s">
        <v>88</v>
      </c>
      <c r="C5" s="5" t="s">
        <v>89</v>
      </c>
      <c r="D5" s="5" t="s">
        <v>90</v>
      </c>
      <c r="E5" s="5" t="s">
        <v>47</v>
      </c>
      <c r="F5" s="5" t="s">
        <v>91</v>
      </c>
      <c r="G5" s="5" t="s">
        <v>49</v>
      </c>
      <c r="H5" s="5" t="s">
        <v>50</v>
      </c>
      <c r="I5" s="5" t="s">
        <v>92</v>
      </c>
      <c r="J5" s="5" t="s">
        <v>93</v>
      </c>
      <c r="K5" s="5"/>
      <c r="L5" s="5" t="s">
        <v>94</v>
      </c>
      <c r="M5" s="5" t="s">
        <v>67</v>
      </c>
      <c r="N5" s="5"/>
      <c r="O5" s="5" t="s">
        <v>95</v>
      </c>
      <c r="P5" s="5" t="s">
        <v>96</v>
      </c>
      <c r="Q5" s="5" t="s">
        <v>97</v>
      </c>
      <c r="R5" s="5" t="s">
        <v>57</v>
      </c>
      <c r="S5" s="5" t="s">
        <v>58</v>
      </c>
      <c r="T5" s="6"/>
      <c r="U5" s="5" t="s">
        <v>98</v>
      </c>
    </row>
    <row r="6" spans="1:21" x14ac:dyDescent="0.55000000000000004">
      <c r="A6" s="5"/>
      <c r="B6" s="5"/>
      <c r="C6" s="5"/>
      <c r="D6" s="5"/>
      <c r="E6" s="5"/>
      <c r="F6" s="5"/>
      <c r="G6" s="5"/>
      <c r="H6" s="5"/>
      <c r="I6" s="5"/>
      <c r="J6" s="5"/>
      <c r="K6" s="5"/>
      <c r="L6" s="5"/>
      <c r="M6" s="5"/>
      <c r="N6" s="5"/>
      <c r="O6" s="5"/>
      <c r="P6" s="5"/>
      <c r="Q6" s="5"/>
      <c r="R6" s="5"/>
      <c r="S6" s="5"/>
      <c r="T6" s="6"/>
      <c r="U6" s="5"/>
    </row>
    <row r="7" spans="1:21" x14ac:dyDescent="0.55000000000000004">
      <c r="A7" s="5"/>
      <c r="B7" s="5"/>
      <c r="C7" s="5"/>
      <c r="D7" s="5"/>
      <c r="E7" s="5"/>
      <c r="F7" s="5"/>
      <c r="G7" s="5"/>
      <c r="H7" s="5"/>
      <c r="I7" s="5"/>
      <c r="J7" s="5"/>
      <c r="K7" s="5"/>
      <c r="L7" s="5"/>
      <c r="M7" s="5"/>
      <c r="N7" s="5"/>
      <c r="O7" s="5"/>
      <c r="P7" s="5"/>
      <c r="Q7" s="5"/>
      <c r="R7" s="5"/>
      <c r="S7" s="5"/>
      <c r="T7" s="6"/>
      <c r="U7" s="5"/>
    </row>
    <row r="8" spans="1:21" x14ac:dyDescent="0.55000000000000004">
      <c r="A8" s="5"/>
      <c r="B8" s="5"/>
      <c r="C8" s="5"/>
      <c r="D8" s="5"/>
      <c r="E8" s="5"/>
      <c r="F8" s="5"/>
      <c r="G8" s="5"/>
      <c r="H8" s="5"/>
      <c r="I8" s="5"/>
      <c r="J8" s="5"/>
      <c r="K8" s="5"/>
      <c r="L8" s="5"/>
      <c r="M8" s="5"/>
      <c r="N8" s="5"/>
      <c r="O8" s="5"/>
      <c r="P8" s="5"/>
      <c r="Q8" s="5"/>
      <c r="R8" s="5"/>
      <c r="S8" s="5"/>
      <c r="T8" s="6"/>
      <c r="U8" s="5"/>
    </row>
    <row r="9" spans="1:21" x14ac:dyDescent="0.55000000000000004">
      <c r="A9" s="5"/>
      <c r="B9" s="5"/>
      <c r="C9" s="5"/>
      <c r="D9" s="5"/>
      <c r="E9" s="5"/>
      <c r="F9" s="5"/>
      <c r="G9" s="5"/>
      <c r="H9" s="5"/>
      <c r="I9" s="5"/>
      <c r="J9" s="5"/>
      <c r="K9" s="5"/>
      <c r="L9" s="5"/>
      <c r="M9" s="5"/>
      <c r="N9" s="5"/>
      <c r="O9" s="5"/>
      <c r="P9" s="5"/>
      <c r="Q9" s="5"/>
      <c r="R9" s="5"/>
      <c r="S9" s="5"/>
      <c r="T9" s="6"/>
      <c r="U9" s="5"/>
    </row>
    <row r="10" spans="1:21" x14ac:dyDescent="0.55000000000000004">
      <c r="A10" s="5"/>
      <c r="B10" s="5"/>
      <c r="C10" s="5"/>
      <c r="D10" s="5"/>
      <c r="E10" s="5"/>
      <c r="F10" s="5"/>
      <c r="G10" s="5"/>
      <c r="H10" s="5"/>
      <c r="I10" s="5"/>
      <c r="J10" s="5"/>
      <c r="K10" s="5"/>
      <c r="L10" s="5"/>
      <c r="M10" s="5"/>
      <c r="N10" s="5"/>
      <c r="O10" s="5"/>
      <c r="P10" s="5"/>
      <c r="Q10" s="5"/>
      <c r="R10" s="5"/>
      <c r="S10" s="5"/>
      <c r="T10" s="6"/>
      <c r="U10" s="5"/>
    </row>
    <row r="11" spans="1:21" x14ac:dyDescent="0.55000000000000004">
      <c r="A11" s="5"/>
      <c r="B11" s="5"/>
      <c r="C11" s="5"/>
      <c r="D11" s="5"/>
      <c r="E11" s="5"/>
      <c r="F11" s="5"/>
      <c r="G11" s="5"/>
      <c r="H11" s="5"/>
      <c r="I11" s="5"/>
      <c r="J11" s="5"/>
      <c r="K11" s="5"/>
      <c r="L11" s="5"/>
      <c r="M11" s="5"/>
      <c r="N11" s="5"/>
      <c r="O11" s="5"/>
      <c r="P11" s="5"/>
      <c r="Q11" s="5"/>
      <c r="R11" s="5"/>
      <c r="S11" s="5"/>
      <c r="T11" s="6"/>
      <c r="U11" s="5"/>
    </row>
    <row r="12" spans="1:21" x14ac:dyDescent="0.55000000000000004">
      <c r="A12" s="5"/>
      <c r="B12" s="5"/>
      <c r="C12" s="5"/>
      <c r="D12" s="5"/>
      <c r="E12" s="5"/>
      <c r="F12" s="5"/>
      <c r="G12" s="5"/>
      <c r="H12" s="5"/>
      <c r="I12" s="5"/>
      <c r="J12" s="5"/>
      <c r="K12" s="5"/>
      <c r="L12" s="5"/>
      <c r="M12" s="5"/>
      <c r="N12" s="5"/>
      <c r="O12" s="5"/>
      <c r="P12" s="5"/>
      <c r="Q12" s="5"/>
      <c r="R12" s="5"/>
      <c r="S12" s="5"/>
      <c r="T12" s="6"/>
      <c r="U12" s="5"/>
    </row>
    <row r="13" spans="1:21" x14ac:dyDescent="0.55000000000000004">
      <c r="A13" s="5"/>
      <c r="B13" s="5"/>
      <c r="C13" s="5"/>
      <c r="D13" s="5"/>
      <c r="E13" s="5"/>
      <c r="F13" s="5"/>
      <c r="G13" s="5"/>
      <c r="H13" s="5"/>
      <c r="I13" s="5"/>
      <c r="J13" s="5"/>
      <c r="K13" s="5"/>
      <c r="L13" s="5"/>
      <c r="M13" s="5"/>
      <c r="N13" s="5"/>
      <c r="O13" s="5"/>
      <c r="P13" s="5"/>
      <c r="Q13" s="5"/>
      <c r="R13" s="5"/>
      <c r="S13" s="5"/>
      <c r="T13" s="6"/>
      <c r="U13" s="5"/>
    </row>
    <row r="14" spans="1:21" x14ac:dyDescent="0.55000000000000004">
      <c r="A14" s="5"/>
      <c r="B14" s="5"/>
      <c r="C14" s="5"/>
      <c r="D14" s="5"/>
      <c r="E14" s="5"/>
      <c r="F14" s="5"/>
      <c r="G14" s="5"/>
      <c r="H14" s="5"/>
      <c r="I14" s="5"/>
      <c r="J14" s="5"/>
      <c r="K14" s="5"/>
      <c r="L14" s="5"/>
      <c r="M14" s="5"/>
      <c r="N14" s="5"/>
      <c r="O14" s="5"/>
      <c r="P14" s="5"/>
      <c r="Q14" s="5"/>
      <c r="R14" s="5"/>
      <c r="S14" s="5"/>
      <c r="T14" s="6"/>
      <c r="U14" s="5"/>
    </row>
    <row r="15" spans="1:21" x14ac:dyDescent="0.55000000000000004">
      <c r="A15" s="5"/>
      <c r="B15" s="5"/>
      <c r="C15" s="5"/>
      <c r="D15" s="5"/>
      <c r="E15" s="5"/>
      <c r="F15" s="5"/>
      <c r="G15" s="5"/>
      <c r="H15" s="5"/>
      <c r="I15" s="5"/>
      <c r="J15" s="5"/>
      <c r="K15" s="5"/>
      <c r="L15" s="5"/>
      <c r="M15" s="5"/>
      <c r="N15" s="5"/>
      <c r="O15" s="5"/>
      <c r="P15" s="5"/>
      <c r="Q15" s="5"/>
      <c r="R15" s="5"/>
      <c r="S15" s="5"/>
      <c r="T15" s="6"/>
      <c r="U15" s="5"/>
    </row>
    <row r="16" spans="1:21" x14ac:dyDescent="0.55000000000000004">
      <c r="A16" s="5"/>
      <c r="B16" s="5"/>
      <c r="C16" s="5"/>
      <c r="D16" s="5"/>
      <c r="E16" s="5"/>
      <c r="F16" s="5"/>
      <c r="G16" s="5"/>
      <c r="H16" s="5"/>
      <c r="I16" s="5"/>
      <c r="J16" s="5"/>
      <c r="K16" s="5"/>
      <c r="L16" s="5"/>
      <c r="M16" s="5"/>
      <c r="N16" s="5"/>
      <c r="O16" s="5"/>
      <c r="P16" s="5"/>
      <c r="Q16" s="5"/>
      <c r="R16" s="5"/>
      <c r="S16" s="5"/>
      <c r="T16" s="6"/>
      <c r="U16" s="5"/>
    </row>
    <row r="17" spans="1:21" x14ac:dyDescent="0.55000000000000004">
      <c r="A17" s="5"/>
      <c r="B17" s="5"/>
      <c r="C17" s="5"/>
      <c r="D17" s="5"/>
      <c r="E17" s="5"/>
      <c r="F17" s="5"/>
      <c r="G17" s="5"/>
      <c r="H17" s="5"/>
      <c r="I17" s="5"/>
      <c r="J17" s="5"/>
      <c r="K17" s="5"/>
      <c r="L17" s="5"/>
      <c r="M17" s="5"/>
      <c r="N17" s="5"/>
      <c r="O17" s="5"/>
      <c r="P17" s="5"/>
      <c r="Q17" s="5"/>
      <c r="R17" s="5"/>
      <c r="S17" s="5"/>
      <c r="T17" s="6"/>
      <c r="U17" s="5"/>
    </row>
    <row r="18" spans="1:21" x14ac:dyDescent="0.55000000000000004">
      <c r="A18" s="5"/>
      <c r="B18" s="5"/>
      <c r="C18" s="5"/>
      <c r="D18" s="5"/>
      <c r="E18" s="5"/>
      <c r="F18" s="5"/>
      <c r="G18" s="5"/>
      <c r="H18" s="5"/>
      <c r="I18" s="5"/>
      <c r="J18" s="5"/>
      <c r="K18" s="5"/>
      <c r="L18" s="5"/>
      <c r="M18" s="5"/>
      <c r="N18" s="5"/>
      <c r="O18" s="5"/>
      <c r="P18" s="5"/>
      <c r="Q18" s="5"/>
      <c r="R18" s="5"/>
      <c r="S18" s="5"/>
      <c r="T18" s="6"/>
      <c r="U18" s="5"/>
    </row>
    <row r="19" spans="1:21" x14ac:dyDescent="0.55000000000000004">
      <c r="A19" s="5"/>
      <c r="B19" s="5"/>
      <c r="C19" s="5"/>
      <c r="D19" s="5"/>
      <c r="E19" s="5"/>
      <c r="F19" s="5"/>
      <c r="G19" s="5"/>
      <c r="H19" s="5"/>
      <c r="I19" s="5"/>
      <c r="J19" s="5"/>
      <c r="K19" s="5"/>
      <c r="L19" s="5"/>
      <c r="M19" s="5"/>
      <c r="N19" s="5"/>
      <c r="O19" s="5"/>
      <c r="P19" s="5"/>
      <c r="Q19" s="5"/>
      <c r="R19" s="5"/>
      <c r="S19" s="5"/>
      <c r="T19" s="6"/>
      <c r="U19" s="5"/>
    </row>
    <row r="20" spans="1:21" x14ac:dyDescent="0.55000000000000004">
      <c r="A20" s="5"/>
      <c r="B20" s="5"/>
      <c r="C20" s="5"/>
      <c r="D20" s="5"/>
      <c r="E20" s="5"/>
      <c r="F20" s="5"/>
      <c r="G20" s="5"/>
      <c r="H20" s="5"/>
      <c r="I20" s="5"/>
      <c r="J20" s="5"/>
      <c r="K20" s="5"/>
      <c r="L20" s="5"/>
      <c r="M20" s="5"/>
      <c r="N20" s="5"/>
      <c r="O20" s="5"/>
      <c r="P20" s="5"/>
      <c r="Q20" s="5"/>
      <c r="R20" s="5"/>
      <c r="S20" s="5"/>
      <c r="T20" s="6"/>
      <c r="U20" s="5"/>
    </row>
    <row r="21" spans="1:21" x14ac:dyDescent="0.55000000000000004">
      <c r="A21" s="5"/>
      <c r="B21" s="5"/>
      <c r="C21" s="5"/>
      <c r="D21" s="5"/>
      <c r="E21" s="5"/>
      <c r="F21" s="5"/>
      <c r="G21" s="5"/>
      <c r="H21" s="5"/>
      <c r="I21" s="5"/>
      <c r="J21" s="5"/>
      <c r="K21" s="5"/>
      <c r="L21" s="5"/>
      <c r="M21" s="5"/>
      <c r="N21" s="5"/>
      <c r="O21" s="5"/>
      <c r="P21" s="5"/>
      <c r="Q21" s="5"/>
      <c r="R21" s="5"/>
      <c r="S21" s="5"/>
      <c r="T21" s="6"/>
      <c r="U21" s="5"/>
    </row>
    <row r="22" spans="1:21" x14ac:dyDescent="0.55000000000000004">
      <c r="A22" s="5"/>
      <c r="B22" s="5"/>
      <c r="C22" s="5"/>
      <c r="D22" s="5"/>
      <c r="E22" s="5"/>
      <c r="F22" s="5"/>
      <c r="G22" s="5"/>
      <c r="H22" s="5"/>
      <c r="I22" s="5"/>
      <c r="J22" s="5"/>
      <c r="K22" s="5"/>
      <c r="L22" s="5"/>
      <c r="M22" s="5"/>
      <c r="N22" s="5"/>
      <c r="O22" s="5"/>
      <c r="P22" s="5"/>
      <c r="Q22" s="5"/>
      <c r="R22" s="5"/>
      <c r="S22" s="5"/>
      <c r="T22" s="6"/>
      <c r="U22" s="5"/>
    </row>
    <row r="23" spans="1:21" x14ac:dyDescent="0.55000000000000004">
      <c r="A23" s="5"/>
      <c r="B23" s="5"/>
      <c r="C23" s="5"/>
      <c r="D23" s="5"/>
      <c r="E23" s="5"/>
      <c r="F23" s="5"/>
      <c r="G23" s="5"/>
      <c r="H23" s="5"/>
      <c r="I23" s="5"/>
      <c r="J23" s="5"/>
      <c r="K23" s="5"/>
      <c r="L23" s="5"/>
      <c r="M23" s="5"/>
      <c r="N23" s="5"/>
      <c r="O23" s="5"/>
      <c r="P23" s="5"/>
      <c r="Q23" s="5"/>
      <c r="R23" s="5"/>
      <c r="S23" s="5"/>
      <c r="T23" s="6"/>
      <c r="U23" s="5"/>
    </row>
    <row r="24" spans="1:21" x14ac:dyDescent="0.55000000000000004">
      <c r="A24" s="5"/>
      <c r="B24" s="5"/>
      <c r="C24" s="5"/>
      <c r="D24" s="5"/>
      <c r="E24" s="5"/>
      <c r="F24" s="5"/>
      <c r="G24" s="5"/>
      <c r="H24" s="5"/>
      <c r="I24" s="5"/>
      <c r="J24" s="5"/>
      <c r="K24" s="5"/>
      <c r="L24" s="5"/>
      <c r="M24" s="5"/>
      <c r="N24" s="5"/>
      <c r="O24" s="5"/>
      <c r="P24" s="5"/>
      <c r="Q24" s="5"/>
      <c r="R24" s="5"/>
      <c r="S24" s="5"/>
      <c r="T24" s="6"/>
      <c r="U24" s="5"/>
    </row>
    <row r="25" spans="1:21" x14ac:dyDescent="0.55000000000000004">
      <c r="A25" s="5"/>
      <c r="B25" s="5"/>
      <c r="C25" s="5"/>
      <c r="D25" s="5"/>
      <c r="E25" s="5"/>
      <c r="F25" s="5"/>
      <c r="G25" s="5"/>
      <c r="H25" s="5"/>
      <c r="I25" s="5"/>
      <c r="J25" s="5"/>
      <c r="K25" s="5"/>
      <c r="L25" s="5"/>
      <c r="M25" s="5"/>
      <c r="N25" s="5"/>
      <c r="O25" s="5"/>
      <c r="P25" s="5"/>
      <c r="Q25" s="5"/>
      <c r="R25" s="5"/>
      <c r="S25" s="5"/>
      <c r="T25" s="6"/>
      <c r="U25" s="5"/>
    </row>
    <row r="26" spans="1:21" x14ac:dyDescent="0.55000000000000004">
      <c r="A26" s="5"/>
      <c r="B26" s="5"/>
      <c r="C26" s="5"/>
      <c r="D26" s="5"/>
      <c r="E26" s="5"/>
      <c r="F26" s="5"/>
      <c r="G26" s="5"/>
      <c r="H26" s="5"/>
      <c r="I26" s="5"/>
      <c r="J26" s="5"/>
      <c r="K26" s="5"/>
      <c r="L26" s="5"/>
      <c r="M26" s="5"/>
      <c r="N26" s="5"/>
      <c r="O26" s="5"/>
      <c r="P26" s="5"/>
      <c r="Q26" s="5"/>
      <c r="R26" s="5"/>
      <c r="S26" s="5"/>
      <c r="T26" s="6"/>
      <c r="U26" s="5"/>
    </row>
    <row r="27" spans="1:21" x14ac:dyDescent="0.55000000000000004">
      <c r="A27" s="5"/>
      <c r="B27" s="5"/>
      <c r="C27" s="5"/>
      <c r="D27" s="5"/>
      <c r="E27" s="5"/>
      <c r="F27" s="5"/>
      <c r="G27" s="5"/>
      <c r="H27" s="5"/>
      <c r="I27" s="5"/>
      <c r="J27" s="5"/>
      <c r="K27" s="5"/>
      <c r="L27" s="5"/>
      <c r="M27" s="5"/>
      <c r="N27" s="5"/>
      <c r="O27" s="5"/>
      <c r="P27" s="5"/>
      <c r="Q27" s="5"/>
      <c r="R27" s="5"/>
      <c r="S27" s="5"/>
      <c r="T27" s="6"/>
      <c r="U27" s="5"/>
    </row>
    <row r="28" spans="1:21" x14ac:dyDescent="0.55000000000000004">
      <c r="A28" s="5"/>
      <c r="B28" s="5"/>
      <c r="C28" s="5"/>
      <c r="D28" s="5"/>
      <c r="E28" s="5"/>
      <c r="F28" s="5"/>
      <c r="G28" s="5"/>
      <c r="H28" s="5"/>
      <c r="I28" s="5"/>
      <c r="J28" s="5"/>
      <c r="K28" s="5"/>
      <c r="L28" s="5"/>
      <c r="M28" s="5"/>
      <c r="N28" s="5"/>
      <c r="O28" s="5"/>
      <c r="P28" s="5"/>
      <c r="Q28" s="5"/>
      <c r="R28" s="5"/>
      <c r="S28" s="5"/>
      <c r="T28" s="6"/>
      <c r="U28" s="5"/>
    </row>
    <row r="29" spans="1:21" x14ac:dyDescent="0.55000000000000004">
      <c r="A29" s="5"/>
      <c r="B29" s="5"/>
      <c r="C29" s="5"/>
      <c r="D29" s="5"/>
      <c r="E29" s="5"/>
      <c r="F29" s="5"/>
      <c r="G29" s="5"/>
      <c r="H29" s="5"/>
      <c r="I29" s="5"/>
      <c r="J29" s="5"/>
      <c r="K29" s="5"/>
      <c r="L29" s="5"/>
      <c r="M29" s="5"/>
      <c r="N29" s="5"/>
      <c r="O29" s="5"/>
      <c r="P29" s="5"/>
      <c r="Q29" s="5"/>
      <c r="R29" s="5"/>
      <c r="S29" s="5"/>
      <c r="T29" s="6"/>
      <c r="U29" s="5"/>
    </row>
    <row r="30" spans="1:21" x14ac:dyDescent="0.55000000000000004">
      <c r="A30" s="5"/>
      <c r="B30" s="5"/>
      <c r="C30" s="5"/>
      <c r="D30" s="5"/>
      <c r="E30" s="5"/>
      <c r="F30" s="5"/>
      <c r="G30" s="5"/>
      <c r="H30" s="5"/>
      <c r="I30" s="5"/>
      <c r="J30" s="5"/>
      <c r="K30" s="5"/>
      <c r="L30" s="5"/>
      <c r="M30" s="5"/>
      <c r="N30" s="5"/>
      <c r="O30" s="5"/>
      <c r="P30" s="5"/>
      <c r="Q30" s="5"/>
      <c r="R30" s="5"/>
      <c r="S30" s="5"/>
      <c r="T30" s="6"/>
      <c r="U30" s="5"/>
    </row>
    <row r="31" spans="1:21" x14ac:dyDescent="0.55000000000000004">
      <c r="A31" s="5"/>
      <c r="B31" s="5"/>
      <c r="C31" s="5"/>
      <c r="D31" s="5"/>
      <c r="E31" s="5"/>
      <c r="F31" s="5"/>
      <c r="G31" s="5"/>
      <c r="H31" s="5"/>
      <c r="I31" s="5"/>
      <c r="J31" s="5"/>
      <c r="K31" s="5"/>
      <c r="L31" s="5"/>
      <c r="M31" s="5"/>
      <c r="N31" s="5"/>
      <c r="O31" s="5"/>
      <c r="P31" s="5"/>
      <c r="Q31" s="5"/>
      <c r="R31" s="5"/>
      <c r="S31" s="5"/>
      <c r="T31" s="6"/>
      <c r="U31" s="5"/>
    </row>
    <row r="32" spans="1:21" x14ac:dyDescent="0.55000000000000004">
      <c r="A32" s="5"/>
      <c r="B32" s="5"/>
      <c r="C32" s="5"/>
      <c r="D32" s="5"/>
      <c r="E32" s="5"/>
      <c r="F32" s="5"/>
      <c r="G32" s="5"/>
      <c r="H32" s="5"/>
      <c r="I32" s="5"/>
      <c r="J32" s="5"/>
      <c r="K32" s="5"/>
      <c r="L32" s="5"/>
      <c r="M32" s="5"/>
      <c r="N32" s="5"/>
      <c r="O32" s="5"/>
      <c r="P32" s="5"/>
      <c r="Q32" s="5"/>
      <c r="R32" s="5"/>
      <c r="S32" s="5"/>
      <c r="T32" s="6"/>
      <c r="U32" s="5"/>
    </row>
    <row r="33" spans="1:21" x14ac:dyDescent="0.55000000000000004">
      <c r="A33" s="5"/>
      <c r="B33" s="5"/>
      <c r="C33" s="5"/>
      <c r="D33" s="5"/>
      <c r="E33" s="5"/>
      <c r="F33" s="5"/>
      <c r="G33" s="5"/>
      <c r="H33" s="5"/>
      <c r="I33" s="5"/>
      <c r="J33" s="5"/>
      <c r="K33" s="5"/>
      <c r="L33" s="5"/>
      <c r="M33" s="5"/>
      <c r="N33" s="5"/>
      <c r="O33" s="5"/>
      <c r="P33" s="5"/>
      <c r="Q33" s="5"/>
      <c r="R33" s="5"/>
      <c r="S33" s="5"/>
      <c r="T33" s="6"/>
      <c r="U33" s="5"/>
    </row>
    <row r="34" spans="1:21" x14ac:dyDescent="0.55000000000000004">
      <c r="A34" s="5"/>
      <c r="B34" s="5"/>
      <c r="C34" s="5"/>
      <c r="D34" s="5"/>
      <c r="E34" s="5"/>
      <c r="F34" s="5"/>
      <c r="G34" s="5"/>
      <c r="H34" s="5"/>
      <c r="I34" s="5"/>
      <c r="J34" s="5"/>
      <c r="K34" s="5"/>
      <c r="L34" s="5"/>
      <c r="M34" s="5"/>
      <c r="N34" s="5"/>
      <c r="O34" s="5"/>
      <c r="P34" s="5"/>
      <c r="Q34" s="5"/>
      <c r="R34" s="5"/>
      <c r="S34" s="5"/>
      <c r="T34" s="6"/>
      <c r="U34" s="5"/>
    </row>
    <row r="35" spans="1:21" x14ac:dyDescent="0.55000000000000004">
      <c r="A35" s="5"/>
      <c r="B35" s="5"/>
      <c r="C35" s="5"/>
      <c r="D35" s="5"/>
      <c r="E35" s="5"/>
      <c r="F35" s="5"/>
      <c r="G35" s="5"/>
      <c r="H35" s="5"/>
      <c r="I35" s="5"/>
      <c r="J35" s="5"/>
      <c r="K35" s="5"/>
      <c r="L35" s="5"/>
      <c r="M35" s="5"/>
      <c r="N35" s="5"/>
      <c r="O35" s="5"/>
      <c r="P35" s="5"/>
      <c r="Q35" s="5"/>
      <c r="R35" s="5"/>
      <c r="S35" s="5"/>
      <c r="T35" s="6"/>
      <c r="U35" s="5"/>
    </row>
    <row r="36" spans="1:21" x14ac:dyDescent="0.55000000000000004">
      <c r="A36" s="5"/>
      <c r="B36" s="5"/>
      <c r="C36" s="5"/>
      <c r="D36" s="5"/>
      <c r="E36" s="5"/>
      <c r="F36" s="5"/>
      <c r="G36" s="5"/>
      <c r="H36" s="5"/>
      <c r="I36" s="5"/>
      <c r="J36" s="5"/>
      <c r="K36" s="5"/>
      <c r="L36" s="5"/>
      <c r="M36" s="5"/>
      <c r="N36" s="5"/>
      <c r="O36" s="5"/>
      <c r="P36" s="5"/>
      <c r="Q36" s="5"/>
      <c r="R36" s="5"/>
      <c r="S36" s="5"/>
      <c r="T36" s="6"/>
      <c r="U36" s="5"/>
    </row>
    <row r="37" spans="1:21" x14ac:dyDescent="0.55000000000000004">
      <c r="A37" s="5"/>
      <c r="B37" s="5"/>
      <c r="C37" s="5"/>
      <c r="D37" s="5"/>
      <c r="E37" s="5"/>
      <c r="F37" s="5"/>
      <c r="G37" s="5"/>
      <c r="H37" s="5"/>
      <c r="I37" s="5"/>
      <c r="J37" s="5"/>
      <c r="K37" s="5"/>
      <c r="L37" s="5"/>
      <c r="M37" s="5"/>
      <c r="N37" s="5"/>
      <c r="O37" s="5"/>
      <c r="P37" s="5"/>
      <c r="Q37" s="5"/>
      <c r="R37" s="5"/>
      <c r="S37" s="5"/>
      <c r="T37" s="6"/>
      <c r="U37" s="5"/>
    </row>
    <row r="38" spans="1:21" x14ac:dyDescent="0.55000000000000004">
      <c r="A38" s="5"/>
      <c r="B38" s="5"/>
      <c r="C38" s="5"/>
      <c r="D38" s="5"/>
      <c r="E38" s="5"/>
      <c r="F38" s="5"/>
      <c r="G38" s="5"/>
      <c r="H38" s="5"/>
      <c r="I38" s="5"/>
      <c r="J38" s="5"/>
      <c r="K38" s="5"/>
      <c r="L38" s="5"/>
      <c r="M38" s="5"/>
      <c r="N38" s="5"/>
      <c r="O38" s="5"/>
      <c r="P38" s="5"/>
      <c r="Q38" s="5"/>
      <c r="R38" s="5"/>
      <c r="S38" s="5"/>
      <c r="T38" s="6"/>
      <c r="U38" s="5"/>
    </row>
    <row r="39" spans="1:21" x14ac:dyDescent="0.55000000000000004">
      <c r="A39" s="5"/>
      <c r="B39" s="5"/>
      <c r="C39" s="5"/>
      <c r="D39" s="5"/>
      <c r="E39" s="5"/>
      <c r="F39" s="5"/>
      <c r="G39" s="5"/>
      <c r="H39" s="5"/>
      <c r="I39" s="5"/>
      <c r="J39" s="5"/>
      <c r="K39" s="5"/>
      <c r="L39" s="5"/>
      <c r="M39" s="5"/>
      <c r="N39" s="5"/>
      <c r="O39" s="5"/>
      <c r="P39" s="5"/>
      <c r="Q39" s="5"/>
      <c r="R39" s="5"/>
      <c r="S39" s="5"/>
      <c r="T39" s="6"/>
      <c r="U39" s="5"/>
    </row>
    <row r="40" spans="1:21" x14ac:dyDescent="0.55000000000000004">
      <c r="A40" s="5"/>
      <c r="B40" s="5"/>
      <c r="C40" s="5"/>
      <c r="D40" s="5"/>
      <c r="E40" s="5"/>
      <c r="F40" s="5"/>
      <c r="G40" s="5"/>
      <c r="H40" s="5"/>
      <c r="I40" s="5"/>
      <c r="J40" s="5"/>
      <c r="K40" s="5"/>
      <c r="L40" s="5"/>
      <c r="M40" s="5"/>
      <c r="N40" s="5"/>
      <c r="O40" s="5"/>
      <c r="P40" s="5"/>
      <c r="Q40" s="5"/>
      <c r="R40" s="5"/>
      <c r="S40" s="5"/>
      <c r="T40" s="6"/>
      <c r="U40" s="5"/>
    </row>
    <row r="41" spans="1:21" x14ac:dyDescent="0.55000000000000004">
      <c r="A41" s="5"/>
      <c r="B41" s="5"/>
      <c r="C41" s="5"/>
      <c r="D41" s="5"/>
      <c r="E41" s="5"/>
      <c r="F41" s="5"/>
      <c r="G41" s="5"/>
      <c r="H41" s="5"/>
      <c r="I41" s="5"/>
      <c r="J41" s="5"/>
      <c r="K41" s="5"/>
      <c r="L41" s="5"/>
      <c r="M41" s="5"/>
      <c r="N41" s="5"/>
      <c r="O41" s="5"/>
      <c r="P41" s="5"/>
      <c r="Q41" s="5"/>
      <c r="R41" s="5"/>
      <c r="S41" s="5"/>
      <c r="T41" s="6"/>
      <c r="U41" s="5"/>
    </row>
    <row r="42" spans="1:21" x14ac:dyDescent="0.55000000000000004">
      <c r="A42" s="5"/>
      <c r="B42" s="5"/>
      <c r="C42" s="5"/>
      <c r="D42" s="5"/>
      <c r="E42" s="5"/>
      <c r="F42" s="5"/>
      <c r="G42" s="5"/>
      <c r="H42" s="5"/>
      <c r="I42" s="5"/>
      <c r="J42" s="5"/>
      <c r="K42" s="5"/>
      <c r="L42" s="5"/>
      <c r="M42" s="5"/>
      <c r="N42" s="5"/>
      <c r="O42" s="5"/>
      <c r="P42" s="5"/>
      <c r="Q42" s="5"/>
      <c r="R42" s="5"/>
      <c r="S42" s="5"/>
      <c r="T42" s="6"/>
      <c r="U42" s="5"/>
    </row>
    <row r="43" spans="1:21" x14ac:dyDescent="0.55000000000000004">
      <c r="A43" s="5"/>
      <c r="B43" s="5"/>
      <c r="C43" s="5"/>
      <c r="D43" s="5"/>
      <c r="E43" s="5"/>
      <c r="F43" s="5"/>
      <c r="G43" s="5"/>
      <c r="H43" s="5"/>
      <c r="I43" s="5"/>
      <c r="J43" s="5"/>
      <c r="K43" s="5"/>
      <c r="L43" s="5"/>
      <c r="M43" s="5"/>
      <c r="N43" s="5"/>
      <c r="O43" s="5"/>
      <c r="P43" s="5"/>
      <c r="Q43" s="5"/>
      <c r="R43" s="5"/>
      <c r="S43" s="5"/>
      <c r="T43" s="6"/>
      <c r="U43" s="5"/>
    </row>
    <row r="44" spans="1:21" x14ac:dyDescent="0.55000000000000004">
      <c r="A44" s="5"/>
      <c r="B44" s="5"/>
      <c r="C44" s="5"/>
      <c r="D44" s="5"/>
      <c r="E44" s="5"/>
      <c r="F44" s="5"/>
      <c r="G44" s="5"/>
      <c r="H44" s="5"/>
      <c r="I44" s="5"/>
      <c r="J44" s="5"/>
      <c r="K44" s="5"/>
      <c r="L44" s="5"/>
      <c r="M44" s="5"/>
      <c r="N44" s="5"/>
      <c r="O44" s="5"/>
      <c r="P44" s="5"/>
      <c r="Q44" s="5"/>
      <c r="R44" s="5"/>
      <c r="S44" s="5"/>
      <c r="T44" s="6"/>
      <c r="U44" s="5"/>
    </row>
    <row r="45" spans="1:21" x14ac:dyDescent="0.55000000000000004">
      <c r="A45" s="5"/>
      <c r="B45" s="5"/>
      <c r="C45" s="5"/>
      <c r="D45" s="5"/>
      <c r="E45" s="5"/>
      <c r="F45" s="5"/>
      <c r="G45" s="5"/>
      <c r="H45" s="5"/>
      <c r="I45" s="5"/>
      <c r="J45" s="5"/>
      <c r="K45" s="5"/>
      <c r="L45" s="5"/>
      <c r="M45" s="5"/>
      <c r="N45" s="5"/>
      <c r="O45" s="5"/>
      <c r="P45" s="5"/>
      <c r="Q45" s="5"/>
      <c r="R45" s="5"/>
      <c r="S45" s="5"/>
      <c r="T45" s="6"/>
      <c r="U45" s="5"/>
    </row>
    <row r="46" spans="1:21" x14ac:dyDescent="0.55000000000000004">
      <c r="A46" s="5"/>
      <c r="B46" s="5"/>
      <c r="C46" s="5"/>
      <c r="D46" s="5"/>
      <c r="E46" s="5"/>
      <c r="F46" s="5"/>
      <c r="G46" s="5"/>
      <c r="H46" s="5"/>
      <c r="I46" s="5"/>
      <c r="J46" s="5"/>
      <c r="K46" s="5"/>
      <c r="L46" s="5"/>
      <c r="M46" s="5"/>
      <c r="N46" s="5"/>
      <c r="O46" s="5"/>
      <c r="P46" s="5"/>
      <c r="Q46" s="5"/>
      <c r="R46" s="5"/>
      <c r="S46" s="5"/>
      <c r="T46" s="6"/>
      <c r="U46" s="5"/>
    </row>
    <row r="47" spans="1:21" x14ac:dyDescent="0.55000000000000004">
      <c r="A47" s="5"/>
      <c r="B47" s="5"/>
      <c r="C47" s="5"/>
      <c r="D47" s="5"/>
      <c r="E47" s="5"/>
      <c r="F47" s="5"/>
      <c r="G47" s="5"/>
      <c r="H47" s="5"/>
      <c r="I47" s="5"/>
      <c r="J47" s="5"/>
      <c r="K47" s="5"/>
      <c r="L47" s="5"/>
      <c r="M47" s="5"/>
      <c r="N47" s="5"/>
      <c r="O47" s="5"/>
      <c r="P47" s="5"/>
      <c r="Q47" s="5"/>
      <c r="R47" s="5"/>
      <c r="S47" s="5"/>
      <c r="T47" s="6"/>
      <c r="U47" s="5"/>
    </row>
    <row r="48" spans="1:21" x14ac:dyDescent="0.55000000000000004">
      <c r="A48" s="5"/>
      <c r="B48" s="5"/>
      <c r="C48" s="5"/>
      <c r="D48" s="5"/>
      <c r="E48" s="5"/>
      <c r="F48" s="5"/>
      <c r="G48" s="5"/>
      <c r="H48" s="5"/>
      <c r="I48" s="5"/>
      <c r="J48" s="5"/>
      <c r="K48" s="5"/>
      <c r="L48" s="5"/>
      <c r="M48" s="5"/>
      <c r="N48" s="5"/>
      <c r="O48" s="5"/>
      <c r="P48" s="5"/>
      <c r="Q48" s="5"/>
      <c r="R48" s="5"/>
      <c r="S48" s="5"/>
      <c r="T48" s="6"/>
      <c r="U48" s="5"/>
    </row>
    <row r="49" spans="1:21" x14ac:dyDescent="0.55000000000000004">
      <c r="A49" s="5"/>
      <c r="B49" s="5"/>
      <c r="C49" s="5"/>
      <c r="D49" s="5"/>
      <c r="E49" s="5"/>
      <c r="F49" s="5"/>
      <c r="G49" s="5"/>
      <c r="H49" s="5"/>
      <c r="I49" s="5"/>
      <c r="J49" s="5"/>
      <c r="K49" s="5"/>
      <c r="L49" s="5"/>
      <c r="M49" s="5"/>
      <c r="N49" s="5"/>
      <c r="O49" s="5"/>
      <c r="P49" s="5"/>
      <c r="Q49" s="5"/>
      <c r="R49" s="5"/>
      <c r="S49" s="5"/>
      <c r="T49" s="6"/>
      <c r="U49" s="5"/>
    </row>
    <row r="50" spans="1:21" x14ac:dyDescent="0.55000000000000004">
      <c r="A50" s="5"/>
      <c r="B50" s="5"/>
      <c r="C50" s="5"/>
      <c r="D50" s="5"/>
      <c r="E50" s="5"/>
      <c r="F50" s="5"/>
      <c r="G50" s="5"/>
      <c r="H50" s="5"/>
      <c r="I50" s="5"/>
      <c r="J50" s="5"/>
      <c r="K50" s="5"/>
      <c r="L50" s="5"/>
      <c r="M50" s="5"/>
      <c r="N50" s="5"/>
      <c r="O50" s="5"/>
      <c r="P50" s="5"/>
      <c r="Q50" s="5"/>
      <c r="R50" s="5"/>
      <c r="S50" s="5"/>
      <c r="T50" s="6"/>
      <c r="U50" s="5"/>
    </row>
    <row r="51" spans="1:21" x14ac:dyDescent="0.55000000000000004">
      <c r="A51" s="5"/>
      <c r="B51" s="5"/>
      <c r="C51" s="5"/>
      <c r="D51" s="5"/>
      <c r="E51" s="5"/>
      <c r="F51" s="5"/>
      <c r="G51" s="5"/>
      <c r="H51" s="5"/>
      <c r="I51" s="5"/>
      <c r="J51" s="5"/>
      <c r="K51" s="5"/>
      <c r="L51" s="5"/>
      <c r="M51" s="5"/>
      <c r="N51" s="5"/>
      <c r="O51" s="5"/>
      <c r="P51" s="5"/>
      <c r="Q51" s="5"/>
      <c r="R51" s="5"/>
      <c r="S51" s="5"/>
      <c r="T51" s="6"/>
      <c r="U51" s="5"/>
    </row>
    <row r="52" spans="1:21" x14ac:dyDescent="0.55000000000000004">
      <c r="A52" s="5"/>
      <c r="B52" s="5"/>
      <c r="C52" s="5"/>
      <c r="D52" s="5"/>
      <c r="E52" s="5"/>
      <c r="F52" s="5"/>
      <c r="G52" s="5"/>
      <c r="H52" s="5"/>
      <c r="I52" s="5"/>
      <c r="J52" s="5"/>
      <c r="K52" s="5"/>
      <c r="L52" s="5"/>
      <c r="M52" s="5"/>
      <c r="N52" s="5"/>
      <c r="O52" s="5"/>
      <c r="P52" s="5"/>
      <c r="Q52" s="5"/>
      <c r="R52" s="5"/>
      <c r="S52" s="5"/>
      <c r="T52" s="6"/>
      <c r="U52" s="5"/>
    </row>
    <row r="53" spans="1:21" x14ac:dyDescent="0.55000000000000004">
      <c r="A53" s="5"/>
      <c r="B53" s="5"/>
      <c r="C53" s="5"/>
      <c r="D53" s="5"/>
      <c r="E53" s="5"/>
      <c r="F53" s="5"/>
      <c r="G53" s="5"/>
      <c r="H53" s="5"/>
      <c r="I53" s="5"/>
      <c r="J53" s="5"/>
      <c r="K53" s="5"/>
      <c r="L53" s="5"/>
      <c r="M53" s="5"/>
      <c r="N53" s="5"/>
      <c r="O53" s="5"/>
      <c r="P53" s="5"/>
      <c r="Q53" s="5"/>
      <c r="R53" s="5"/>
      <c r="S53" s="5"/>
      <c r="T53" s="6"/>
      <c r="U53" s="5"/>
    </row>
    <row r="54" spans="1:21" x14ac:dyDescent="0.55000000000000004">
      <c r="A54" s="5"/>
      <c r="B54" s="5"/>
      <c r="C54" s="5"/>
      <c r="D54" s="5"/>
      <c r="E54" s="5"/>
      <c r="F54" s="5"/>
      <c r="G54" s="5"/>
      <c r="H54" s="5"/>
      <c r="I54" s="5"/>
      <c r="J54" s="5"/>
      <c r="K54" s="5"/>
      <c r="L54" s="5"/>
      <c r="M54" s="5"/>
      <c r="N54" s="5"/>
      <c r="O54" s="5"/>
      <c r="P54" s="5"/>
      <c r="Q54" s="5"/>
      <c r="R54" s="5"/>
      <c r="S54" s="5"/>
      <c r="T54" s="6"/>
      <c r="U54" s="5"/>
    </row>
    <row r="55" spans="1:21" x14ac:dyDescent="0.55000000000000004">
      <c r="A55" s="5"/>
      <c r="B55" s="5"/>
      <c r="C55" s="5"/>
      <c r="D55" s="5"/>
      <c r="E55" s="5"/>
      <c r="F55" s="5"/>
      <c r="G55" s="5"/>
      <c r="H55" s="5"/>
      <c r="I55" s="5"/>
      <c r="J55" s="5"/>
      <c r="K55" s="5"/>
      <c r="L55" s="5"/>
      <c r="M55" s="5"/>
      <c r="N55" s="5"/>
      <c r="O55" s="5"/>
      <c r="P55" s="5"/>
      <c r="Q55" s="5"/>
      <c r="R55" s="5"/>
      <c r="S55" s="5"/>
      <c r="T55" s="6"/>
      <c r="U55" s="5"/>
    </row>
    <row r="56" spans="1:21" x14ac:dyDescent="0.55000000000000004">
      <c r="A56" s="5"/>
      <c r="B56" s="5"/>
      <c r="C56" s="5"/>
      <c r="D56" s="5"/>
      <c r="E56" s="5"/>
      <c r="F56" s="5"/>
      <c r="G56" s="5"/>
      <c r="H56" s="5"/>
      <c r="I56" s="5"/>
      <c r="J56" s="5"/>
      <c r="K56" s="5"/>
      <c r="L56" s="5"/>
      <c r="M56" s="5"/>
      <c r="N56" s="5"/>
      <c r="O56" s="5"/>
      <c r="P56" s="5"/>
      <c r="Q56" s="5"/>
      <c r="R56" s="5"/>
      <c r="S56" s="5"/>
      <c r="T56" s="6"/>
      <c r="U56" s="5"/>
    </row>
    <row r="57" spans="1:21" x14ac:dyDescent="0.55000000000000004">
      <c r="A57" s="5"/>
      <c r="B57" s="5"/>
      <c r="C57" s="5"/>
      <c r="D57" s="5"/>
      <c r="E57" s="5"/>
      <c r="F57" s="5"/>
      <c r="G57" s="5"/>
      <c r="H57" s="5"/>
      <c r="I57" s="5"/>
      <c r="J57" s="5"/>
      <c r="K57" s="5"/>
      <c r="L57" s="5"/>
      <c r="M57" s="5"/>
      <c r="N57" s="5"/>
      <c r="O57" s="5"/>
      <c r="P57" s="5"/>
      <c r="Q57" s="5"/>
      <c r="R57" s="5"/>
      <c r="S57" s="5"/>
      <c r="T57" s="6"/>
      <c r="U57" s="5"/>
    </row>
    <row r="58" spans="1:21" x14ac:dyDescent="0.55000000000000004">
      <c r="A58" s="5"/>
      <c r="B58" s="5"/>
      <c r="C58" s="5"/>
      <c r="D58" s="5"/>
      <c r="E58" s="5"/>
      <c r="F58" s="5"/>
      <c r="G58" s="5"/>
      <c r="H58" s="5"/>
      <c r="I58" s="5"/>
      <c r="J58" s="5"/>
      <c r="K58" s="5"/>
      <c r="L58" s="5"/>
      <c r="M58" s="5"/>
      <c r="N58" s="5"/>
      <c r="O58" s="5"/>
      <c r="P58" s="5"/>
      <c r="Q58" s="5"/>
      <c r="R58" s="5"/>
      <c r="S58" s="5"/>
      <c r="T58" s="6"/>
      <c r="U58" s="5"/>
    </row>
    <row r="59" spans="1:21" x14ac:dyDescent="0.55000000000000004">
      <c r="A59" s="5"/>
      <c r="B59" s="5"/>
      <c r="C59" s="5"/>
      <c r="D59" s="5"/>
      <c r="E59" s="5"/>
      <c r="F59" s="5"/>
      <c r="G59" s="5"/>
      <c r="H59" s="5"/>
      <c r="I59" s="5"/>
      <c r="J59" s="5"/>
      <c r="K59" s="5"/>
      <c r="L59" s="5"/>
      <c r="M59" s="5"/>
      <c r="N59" s="5"/>
      <c r="O59" s="5"/>
      <c r="P59" s="5"/>
      <c r="Q59" s="5"/>
      <c r="R59" s="5"/>
      <c r="S59" s="5"/>
      <c r="T59" s="6"/>
      <c r="U59" s="5"/>
    </row>
    <row r="60" spans="1:21" x14ac:dyDescent="0.55000000000000004">
      <c r="A60" s="5"/>
      <c r="B60" s="5"/>
      <c r="C60" s="5"/>
      <c r="D60" s="5"/>
      <c r="E60" s="5"/>
      <c r="F60" s="5"/>
      <c r="G60" s="5"/>
      <c r="H60" s="5"/>
      <c r="I60" s="5"/>
      <c r="J60" s="5"/>
      <c r="K60" s="5"/>
      <c r="L60" s="5"/>
      <c r="M60" s="5"/>
      <c r="N60" s="5"/>
      <c r="O60" s="5"/>
      <c r="P60" s="5"/>
      <c r="Q60" s="5"/>
      <c r="R60" s="5"/>
      <c r="S60" s="5"/>
      <c r="T60" s="6"/>
      <c r="U60" s="5"/>
    </row>
    <row r="61" spans="1:21" x14ac:dyDescent="0.55000000000000004">
      <c r="A61" s="5"/>
      <c r="B61" s="5"/>
      <c r="C61" s="5"/>
      <c r="D61" s="5"/>
      <c r="E61" s="5"/>
      <c r="F61" s="5"/>
      <c r="G61" s="5"/>
      <c r="H61" s="5"/>
      <c r="I61" s="5"/>
      <c r="J61" s="5"/>
      <c r="K61" s="5"/>
      <c r="L61" s="5"/>
      <c r="M61" s="5"/>
      <c r="N61" s="5"/>
      <c r="O61" s="5"/>
      <c r="P61" s="5"/>
      <c r="Q61" s="5"/>
      <c r="R61" s="5"/>
      <c r="S61" s="5"/>
      <c r="T61" s="6"/>
      <c r="U61" s="5"/>
    </row>
    <row r="62" spans="1:21" x14ac:dyDescent="0.55000000000000004">
      <c r="A62" s="5"/>
      <c r="B62" s="5"/>
      <c r="C62" s="5"/>
      <c r="D62" s="5"/>
      <c r="E62" s="5"/>
      <c r="F62" s="5"/>
      <c r="G62" s="5"/>
      <c r="H62" s="5"/>
      <c r="I62" s="5"/>
      <c r="J62" s="5"/>
      <c r="K62" s="5"/>
      <c r="L62" s="5"/>
      <c r="M62" s="5"/>
      <c r="N62" s="5"/>
      <c r="O62" s="5"/>
      <c r="P62" s="5"/>
      <c r="Q62" s="5"/>
      <c r="R62" s="5"/>
      <c r="S62" s="5"/>
      <c r="T62" s="6"/>
      <c r="U62" s="5"/>
    </row>
    <row r="63" spans="1:21" x14ac:dyDescent="0.55000000000000004">
      <c r="A63" s="5"/>
      <c r="B63" s="5"/>
      <c r="C63" s="5"/>
      <c r="D63" s="5"/>
      <c r="E63" s="5"/>
      <c r="F63" s="5"/>
      <c r="G63" s="5"/>
      <c r="H63" s="5"/>
      <c r="I63" s="5"/>
      <c r="J63" s="5"/>
      <c r="K63" s="5"/>
      <c r="L63" s="5"/>
      <c r="M63" s="5"/>
      <c r="N63" s="5"/>
      <c r="O63" s="5"/>
      <c r="P63" s="5"/>
      <c r="Q63" s="5"/>
      <c r="R63" s="5"/>
      <c r="S63" s="5"/>
      <c r="T63" s="6"/>
      <c r="U63" s="5"/>
    </row>
    <row r="64" spans="1:21" x14ac:dyDescent="0.55000000000000004">
      <c r="A64" s="5"/>
      <c r="B64" s="5"/>
      <c r="C64" s="5"/>
      <c r="D64" s="5"/>
      <c r="E64" s="5"/>
      <c r="F64" s="5"/>
      <c r="G64" s="5"/>
      <c r="H64" s="5"/>
      <c r="I64" s="5"/>
      <c r="J64" s="5"/>
      <c r="K64" s="5"/>
      <c r="L64" s="5"/>
      <c r="M64" s="5"/>
      <c r="N64" s="5"/>
      <c r="O64" s="5"/>
      <c r="P64" s="5"/>
      <c r="Q64" s="5"/>
      <c r="R64" s="5"/>
      <c r="S64" s="5"/>
      <c r="T64" s="6"/>
      <c r="U64" s="5"/>
    </row>
    <row r="65" spans="1:21" x14ac:dyDescent="0.55000000000000004">
      <c r="A65" s="5"/>
      <c r="B65" s="5"/>
      <c r="C65" s="5"/>
      <c r="D65" s="5"/>
      <c r="E65" s="5"/>
      <c r="F65" s="5"/>
      <c r="G65" s="5"/>
      <c r="H65" s="5"/>
      <c r="I65" s="5"/>
      <c r="J65" s="5"/>
      <c r="K65" s="5"/>
      <c r="L65" s="5"/>
      <c r="M65" s="5"/>
      <c r="N65" s="5"/>
      <c r="O65" s="5"/>
      <c r="P65" s="5"/>
      <c r="Q65" s="5"/>
      <c r="R65" s="5"/>
      <c r="S65" s="5"/>
      <c r="T65" s="6"/>
      <c r="U65" s="5"/>
    </row>
    <row r="66" spans="1:21" x14ac:dyDescent="0.55000000000000004">
      <c r="A66" s="5"/>
      <c r="B66" s="5"/>
      <c r="C66" s="5"/>
      <c r="D66" s="5"/>
      <c r="E66" s="5"/>
      <c r="F66" s="5"/>
      <c r="G66" s="5"/>
      <c r="H66" s="5"/>
      <c r="I66" s="5"/>
      <c r="J66" s="5"/>
      <c r="K66" s="5"/>
      <c r="L66" s="5"/>
      <c r="M66" s="5"/>
      <c r="N66" s="5"/>
      <c r="O66" s="5"/>
      <c r="P66" s="5"/>
      <c r="Q66" s="5"/>
      <c r="R66" s="5"/>
      <c r="S66" s="5"/>
      <c r="T66" s="6"/>
      <c r="U66" s="5"/>
    </row>
    <row r="67" spans="1:21" x14ac:dyDescent="0.55000000000000004">
      <c r="A67" s="5"/>
      <c r="B67" s="5"/>
      <c r="C67" s="5"/>
      <c r="D67" s="5"/>
      <c r="E67" s="5"/>
      <c r="F67" s="5"/>
      <c r="G67" s="5"/>
      <c r="H67" s="5"/>
      <c r="I67" s="5"/>
      <c r="J67" s="5"/>
      <c r="K67" s="5"/>
      <c r="L67" s="5"/>
      <c r="M67" s="5"/>
      <c r="N67" s="5"/>
      <c r="O67" s="5"/>
      <c r="P67" s="5"/>
      <c r="Q67" s="5"/>
      <c r="R67" s="5"/>
      <c r="S67" s="5"/>
      <c r="T67" s="6"/>
      <c r="U67" s="5"/>
    </row>
    <row r="68" spans="1:21" x14ac:dyDescent="0.55000000000000004">
      <c r="A68" s="5"/>
      <c r="B68" s="5"/>
      <c r="C68" s="5"/>
      <c r="D68" s="5"/>
      <c r="E68" s="5"/>
      <c r="F68" s="5"/>
      <c r="G68" s="5"/>
      <c r="H68" s="5"/>
      <c r="I68" s="5"/>
      <c r="J68" s="5"/>
      <c r="K68" s="5"/>
      <c r="L68" s="5"/>
      <c r="M68" s="5"/>
      <c r="N68" s="5"/>
      <c r="O68" s="5"/>
      <c r="P68" s="5"/>
      <c r="Q68" s="5"/>
      <c r="R68" s="5"/>
      <c r="S68" s="5"/>
      <c r="T68" s="6"/>
      <c r="U68" s="5"/>
    </row>
    <row r="69" spans="1:21" x14ac:dyDescent="0.55000000000000004">
      <c r="A69" s="5"/>
      <c r="B69" s="5"/>
      <c r="C69" s="5"/>
      <c r="D69" s="5"/>
      <c r="E69" s="5"/>
      <c r="F69" s="5"/>
      <c r="G69" s="5"/>
      <c r="H69" s="5"/>
      <c r="I69" s="5"/>
      <c r="J69" s="5"/>
      <c r="K69" s="5"/>
      <c r="L69" s="5"/>
      <c r="M69" s="5"/>
      <c r="N69" s="5"/>
      <c r="O69" s="5"/>
      <c r="P69" s="5"/>
      <c r="Q69" s="5"/>
      <c r="R69" s="5"/>
      <c r="S69" s="5"/>
      <c r="T69" s="6"/>
      <c r="U69" s="5"/>
    </row>
    <row r="70" spans="1:21" x14ac:dyDescent="0.55000000000000004">
      <c r="A70" s="5"/>
      <c r="B70" s="5"/>
      <c r="C70" s="5"/>
      <c r="D70" s="5"/>
      <c r="E70" s="5"/>
      <c r="F70" s="5"/>
      <c r="G70" s="5"/>
      <c r="H70" s="5"/>
      <c r="I70" s="5"/>
      <c r="J70" s="5"/>
      <c r="K70" s="5"/>
      <c r="L70" s="5"/>
      <c r="M70" s="5"/>
      <c r="N70" s="5"/>
      <c r="O70" s="5"/>
      <c r="P70" s="5"/>
      <c r="Q70" s="5"/>
      <c r="R70" s="5"/>
      <c r="S70" s="5"/>
      <c r="T70" s="6"/>
      <c r="U70" s="5"/>
    </row>
    <row r="71" spans="1:21" x14ac:dyDescent="0.55000000000000004">
      <c r="A71" s="5"/>
      <c r="B71" s="5"/>
      <c r="C71" s="5"/>
      <c r="D71" s="5"/>
      <c r="E71" s="5"/>
      <c r="F71" s="5"/>
      <c r="G71" s="5"/>
      <c r="H71" s="5"/>
      <c r="I71" s="5"/>
      <c r="J71" s="5"/>
      <c r="K71" s="5"/>
      <c r="L71" s="5"/>
      <c r="M71" s="5"/>
      <c r="N71" s="5"/>
      <c r="O71" s="5"/>
      <c r="P71" s="5"/>
      <c r="Q71" s="5"/>
      <c r="R71" s="5"/>
      <c r="S71" s="5"/>
      <c r="T71" s="6"/>
      <c r="U71" s="5"/>
    </row>
    <row r="72" spans="1:21" x14ac:dyDescent="0.55000000000000004">
      <c r="A72" s="5"/>
      <c r="B72" s="5"/>
      <c r="C72" s="5"/>
      <c r="D72" s="5"/>
      <c r="E72" s="5"/>
      <c r="F72" s="5"/>
      <c r="G72" s="5"/>
      <c r="H72" s="5"/>
      <c r="I72" s="5"/>
      <c r="J72" s="5"/>
      <c r="K72" s="5"/>
      <c r="L72" s="5"/>
      <c r="M72" s="5"/>
      <c r="N72" s="5"/>
      <c r="O72" s="5"/>
      <c r="P72" s="5"/>
      <c r="Q72" s="5"/>
      <c r="R72" s="5"/>
      <c r="S72" s="5"/>
      <c r="T72" s="6"/>
      <c r="U72" s="5"/>
    </row>
    <row r="73" spans="1:21" x14ac:dyDescent="0.55000000000000004">
      <c r="A73" s="5"/>
      <c r="B73" s="5"/>
      <c r="C73" s="5"/>
      <c r="D73" s="5"/>
      <c r="E73" s="5"/>
      <c r="F73" s="5"/>
      <c r="G73" s="5"/>
      <c r="H73" s="5"/>
      <c r="I73" s="5"/>
      <c r="J73" s="5"/>
      <c r="K73" s="5"/>
      <c r="L73" s="5"/>
      <c r="M73" s="5"/>
      <c r="N73" s="5"/>
      <c r="O73" s="5"/>
      <c r="P73" s="5"/>
      <c r="Q73" s="5"/>
      <c r="R73" s="5"/>
      <c r="S73" s="5"/>
      <c r="T73" s="6"/>
      <c r="U73" s="5"/>
    </row>
    <row r="74" spans="1:21" x14ac:dyDescent="0.55000000000000004">
      <c r="A74" s="5"/>
      <c r="B74" s="5"/>
      <c r="C74" s="5"/>
      <c r="D74" s="5"/>
      <c r="E74" s="5"/>
      <c r="F74" s="5"/>
      <c r="G74" s="5"/>
      <c r="H74" s="5"/>
      <c r="I74" s="5"/>
      <c r="J74" s="5"/>
      <c r="K74" s="5"/>
      <c r="L74" s="5"/>
      <c r="M74" s="5"/>
      <c r="N74" s="5"/>
      <c r="O74" s="5"/>
      <c r="P74" s="5"/>
      <c r="Q74" s="5"/>
      <c r="R74" s="5"/>
      <c r="S74" s="5"/>
      <c r="T74" s="6"/>
      <c r="U74" s="5"/>
    </row>
    <row r="75" spans="1:21" x14ac:dyDescent="0.55000000000000004">
      <c r="A75" s="5"/>
      <c r="B75" s="5"/>
      <c r="C75" s="5"/>
      <c r="D75" s="5"/>
      <c r="E75" s="5"/>
      <c r="F75" s="5"/>
      <c r="G75" s="5"/>
      <c r="H75" s="5"/>
      <c r="I75" s="5"/>
      <c r="J75" s="5"/>
      <c r="K75" s="5"/>
      <c r="L75" s="5"/>
      <c r="M75" s="5"/>
      <c r="N75" s="5"/>
      <c r="O75" s="5"/>
      <c r="P75" s="5"/>
      <c r="Q75" s="5"/>
      <c r="R75" s="5"/>
      <c r="S75" s="5"/>
      <c r="T75" s="6"/>
      <c r="U75" s="5"/>
    </row>
    <row r="76" spans="1:21" x14ac:dyDescent="0.55000000000000004">
      <c r="A76" s="5"/>
      <c r="B76" s="5"/>
      <c r="C76" s="5"/>
      <c r="D76" s="5"/>
      <c r="E76" s="5"/>
      <c r="F76" s="5"/>
      <c r="G76" s="5"/>
      <c r="H76" s="5"/>
      <c r="I76" s="5"/>
      <c r="J76" s="5"/>
      <c r="K76" s="5"/>
      <c r="L76" s="5"/>
      <c r="M76" s="5"/>
      <c r="N76" s="5"/>
      <c r="O76" s="5"/>
      <c r="P76" s="5"/>
      <c r="Q76" s="5"/>
      <c r="R76" s="5"/>
      <c r="S76" s="5"/>
      <c r="T76" s="6"/>
      <c r="U76" s="5"/>
    </row>
    <row r="77" spans="1:21" x14ac:dyDescent="0.55000000000000004">
      <c r="A77" s="5"/>
      <c r="B77" s="5"/>
      <c r="C77" s="5"/>
      <c r="D77" s="5"/>
      <c r="E77" s="5"/>
      <c r="F77" s="5"/>
      <c r="G77" s="5"/>
      <c r="H77" s="5"/>
      <c r="I77" s="5"/>
      <c r="J77" s="5"/>
      <c r="K77" s="5"/>
      <c r="L77" s="5"/>
      <c r="M77" s="5"/>
      <c r="N77" s="5"/>
      <c r="O77" s="5"/>
      <c r="P77" s="5"/>
      <c r="Q77" s="5"/>
      <c r="R77" s="5"/>
      <c r="S77" s="5"/>
      <c r="T77" s="6"/>
      <c r="U77" s="5"/>
    </row>
    <row r="78" spans="1:21" x14ac:dyDescent="0.55000000000000004">
      <c r="A78" s="5"/>
      <c r="B78" s="5"/>
      <c r="C78" s="5"/>
      <c r="D78" s="5"/>
      <c r="E78" s="5"/>
      <c r="F78" s="5"/>
      <c r="G78" s="5"/>
      <c r="H78" s="5"/>
      <c r="I78" s="5"/>
      <c r="J78" s="5"/>
      <c r="K78" s="5"/>
      <c r="L78" s="5"/>
      <c r="M78" s="5"/>
      <c r="N78" s="5"/>
      <c r="O78" s="5"/>
      <c r="P78" s="5"/>
      <c r="Q78" s="5"/>
      <c r="R78" s="5"/>
      <c r="S78" s="5"/>
      <c r="T78" s="6"/>
      <c r="U78" s="5"/>
    </row>
    <row r="79" spans="1:21" x14ac:dyDescent="0.55000000000000004">
      <c r="A79" s="5"/>
      <c r="B79" s="5"/>
      <c r="C79" s="5"/>
      <c r="D79" s="5"/>
      <c r="E79" s="5"/>
      <c r="F79" s="5"/>
      <c r="G79" s="5"/>
      <c r="H79" s="5"/>
      <c r="I79" s="5"/>
      <c r="J79" s="5"/>
      <c r="K79" s="5"/>
      <c r="L79" s="5"/>
      <c r="M79" s="5"/>
      <c r="N79" s="5"/>
      <c r="O79" s="5"/>
      <c r="P79" s="5"/>
      <c r="Q79" s="5"/>
      <c r="R79" s="5"/>
      <c r="S79" s="5"/>
      <c r="T79" s="6"/>
      <c r="U79" s="5"/>
    </row>
    <row r="80" spans="1:21" x14ac:dyDescent="0.55000000000000004">
      <c r="A80" s="5"/>
      <c r="B80" s="5"/>
      <c r="C80" s="5"/>
      <c r="D80" s="5"/>
      <c r="E80" s="5"/>
      <c r="F80" s="5"/>
      <c r="G80" s="5"/>
      <c r="H80" s="5"/>
      <c r="I80" s="5"/>
      <c r="J80" s="5"/>
      <c r="K80" s="5"/>
      <c r="L80" s="5"/>
      <c r="M80" s="5"/>
      <c r="N80" s="5"/>
      <c r="O80" s="5"/>
      <c r="P80" s="5"/>
      <c r="Q80" s="5"/>
      <c r="R80" s="5"/>
      <c r="S80" s="5"/>
      <c r="T80" s="6"/>
      <c r="U80" s="5"/>
    </row>
    <row r="81" spans="1:21" x14ac:dyDescent="0.55000000000000004">
      <c r="A81" s="5"/>
      <c r="B81" s="5"/>
      <c r="C81" s="5"/>
      <c r="D81" s="5"/>
      <c r="E81" s="5"/>
      <c r="F81" s="5"/>
      <c r="G81" s="5"/>
      <c r="H81" s="5"/>
      <c r="I81" s="5"/>
      <c r="J81" s="5"/>
      <c r="K81" s="5"/>
      <c r="L81" s="5"/>
      <c r="M81" s="5"/>
      <c r="N81" s="5"/>
      <c r="O81" s="5"/>
      <c r="P81" s="5"/>
      <c r="Q81" s="5"/>
      <c r="R81" s="5"/>
      <c r="S81" s="5"/>
      <c r="T81" s="6"/>
      <c r="U81" s="5"/>
    </row>
    <row r="82" spans="1:21" x14ac:dyDescent="0.55000000000000004">
      <c r="A82" s="5"/>
      <c r="B82" s="5"/>
      <c r="C82" s="5"/>
      <c r="D82" s="5"/>
      <c r="E82" s="5"/>
      <c r="F82" s="5"/>
      <c r="G82" s="5"/>
      <c r="H82" s="5"/>
      <c r="I82" s="5"/>
      <c r="J82" s="5"/>
      <c r="K82" s="5"/>
      <c r="L82" s="5"/>
      <c r="M82" s="5"/>
      <c r="N82" s="5"/>
      <c r="O82" s="5"/>
      <c r="P82" s="5"/>
      <c r="Q82" s="5"/>
      <c r="R82" s="5"/>
      <c r="S82" s="5"/>
      <c r="T82" s="6"/>
      <c r="U82" s="5"/>
    </row>
    <row r="83" spans="1:21" x14ac:dyDescent="0.55000000000000004">
      <c r="A83" s="5"/>
      <c r="B83" s="5"/>
      <c r="C83" s="5"/>
      <c r="D83" s="5"/>
      <c r="E83" s="5"/>
      <c r="F83" s="5"/>
      <c r="G83" s="5"/>
      <c r="H83" s="5"/>
      <c r="I83" s="5"/>
      <c r="J83" s="5"/>
      <c r="K83" s="5"/>
      <c r="L83" s="5"/>
      <c r="M83" s="5"/>
      <c r="N83" s="5"/>
      <c r="O83" s="5"/>
      <c r="P83" s="5"/>
      <c r="Q83" s="5"/>
      <c r="R83" s="5"/>
      <c r="S83" s="5"/>
      <c r="T83" s="6"/>
      <c r="U83" s="5"/>
    </row>
    <row r="84" spans="1:21" x14ac:dyDescent="0.55000000000000004">
      <c r="A84" s="5"/>
      <c r="B84" s="5"/>
      <c r="C84" s="5"/>
      <c r="D84" s="5"/>
      <c r="E84" s="5"/>
      <c r="F84" s="5"/>
      <c r="G84" s="5"/>
      <c r="H84" s="5"/>
      <c r="I84" s="5"/>
      <c r="J84" s="5"/>
      <c r="K84" s="5"/>
      <c r="L84" s="5"/>
      <c r="M84" s="5"/>
      <c r="N84" s="5"/>
      <c r="O84" s="5"/>
      <c r="P84" s="5"/>
      <c r="Q84" s="5"/>
      <c r="R84" s="5"/>
      <c r="S84" s="5"/>
      <c r="T84" s="6"/>
      <c r="U84" s="5"/>
    </row>
    <row r="85" spans="1:21" x14ac:dyDescent="0.55000000000000004">
      <c r="A85" s="5"/>
      <c r="B85" s="5"/>
      <c r="C85" s="5"/>
      <c r="D85" s="5"/>
      <c r="E85" s="5"/>
      <c r="F85" s="5"/>
      <c r="G85" s="5"/>
      <c r="H85" s="5"/>
      <c r="I85" s="5"/>
      <c r="J85" s="5"/>
      <c r="K85" s="5"/>
      <c r="L85" s="5"/>
      <c r="M85" s="5"/>
      <c r="N85" s="5"/>
      <c r="O85" s="5"/>
      <c r="P85" s="5"/>
      <c r="Q85" s="5"/>
      <c r="R85" s="5"/>
      <c r="S85" s="5"/>
      <c r="T85" s="6"/>
      <c r="U85" s="5"/>
    </row>
    <row r="86" spans="1:21" x14ac:dyDescent="0.55000000000000004">
      <c r="A86" s="5"/>
      <c r="B86" s="5"/>
      <c r="C86" s="5"/>
      <c r="D86" s="5"/>
      <c r="E86" s="5"/>
      <c r="F86" s="5"/>
      <c r="G86" s="5"/>
      <c r="H86" s="5"/>
      <c r="I86" s="5"/>
      <c r="J86" s="5"/>
      <c r="K86" s="5"/>
      <c r="L86" s="5"/>
      <c r="M86" s="5"/>
      <c r="N86" s="5"/>
      <c r="O86" s="5"/>
      <c r="P86" s="5"/>
      <c r="Q86" s="5"/>
      <c r="R86" s="5"/>
      <c r="S86" s="5"/>
      <c r="T86" s="6"/>
      <c r="U86" s="5"/>
    </row>
    <row r="87" spans="1:21" x14ac:dyDescent="0.55000000000000004">
      <c r="A87" s="5"/>
      <c r="B87" s="5"/>
      <c r="C87" s="5"/>
      <c r="D87" s="5"/>
      <c r="E87" s="5"/>
      <c r="F87" s="5"/>
      <c r="G87" s="5"/>
      <c r="H87" s="5"/>
      <c r="I87" s="5"/>
      <c r="J87" s="5"/>
      <c r="K87" s="5"/>
      <c r="L87" s="5"/>
      <c r="M87" s="5"/>
      <c r="N87" s="5"/>
      <c r="O87" s="5"/>
      <c r="P87" s="5"/>
      <c r="Q87" s="5"/>
      <c r="R87" s="5"/>
      <c r="S87" s="5"/>
      <c r="T87" s="6"/>
      <c r="U87" s="5"/>
    </row>
    <row r="88" spans="1:21" x14ac:dyDescent="0.55000000000000004">
      <c r="A88" s="5"/>
      <c r="B88" s="5"/>
      <c r="C88" s="5"/>
      <c r="D88" s="5"/>
      <c r="E88" s="5"/>
      <c r="F88" s="5"/>
      <c r="G88" s="5"/>
      <c r="H88" s="5"/>
      <c r="I88" s="5"/>
      <c r="J88" s="5"/>
      <c r="K88" s="5"/>
      <c r="L88" s="5"/>
      <c r="M88" s="5"/>
      <c r="N88" s="5"/>
      <c r="O88" s="5"/>
      <c r="P88" s="5"/>
      <c r="Q88" s="5"/>
      <c r="R88" s="5"/>
      <c r="S88" s="5"/>
      <c r="T88" s="6"/>
      <c r="U88" s="5"/>
    </row>
    <row r="89" spans="1:21" x14ac:dyDescent="0.55000000000000004">
      <c r="A89" s="5"/>
      <c r="B89" s="5"/>
      <c r="C89" s="5"/>
      <c r="D89" s="5"/>
      <c r="E89" s="5"/>
      <c r="F89" s="5"/>
      <c r="G89" s="5"/>
      <c r="H89" s="5"/>
      <c r="I89" s="5"/>
      <c r="J89" s="5"/>
      <c r="K89" s="5"/>
      <c r="L89" s="5"/>
      <c r="M89" s="5"/>
      <c r="N89" s="5"/>
      <c r="O89" s="5"/>
      <c r="P89" s="5"/>
      <c r="Q89" s="5"/>
      <c r="R89" s="5"/>
      <c r="S89" s="5"/>
      <c r="T89" s="6"/>
      <c r="U89" s="5"/>
    </row>
    <row r="90" spans="1:21" x14ac:dyDescent="0.55000000000000004">
      <c r="A90" s="5"/>
      <c r="B90" s="5"/>
      <c r="C90" s="5"/>
      <c r="D90" s="5"/>
      <c r="E90" s="5"/>
      <c r="F90" s="5"/>
      <c r="G90" s="5"/>
      <c r="H90" s="5"/>
      <c r="I90" s="5"/>
      <c r="J90" s="5"/>
      <c r="K90" s="5"/>
      <c r="L90" s="5"/>
      <c r="M90" s="5"/>
      <c r="N90" s="5"/>
      <c r="O90" s="5"/>
      <c r="P90" s="5"/>
      <c r="Q90" s="5"/>
      <c r="R90" s="5"/>
      <c r="S90" s="5"/>
      <c r="T90" s="6"/>
      <c r="U90" s="5"/>
    </row>
    <row r="91" spans="1:21" x14ac:dyDescent="0.55000000000000004">
      <c r="A91" s="5"/>
      <c r="B91" s="5"/>
      <c r="C91" s="5"/>
      <c r="D91" s="5"/>
      <c r="E91" s="5"/>
      <c r="F91" s="5"/>
      <c r="G91" s="5"/>
      <c r="H91" s="5"/>
      <c r="I91" s="5"/>
      <c r="J91" s="5"/>
      <c r="K91" s="5"/>
      <c r="L91" s="5"/>
      <c r="M91" s="5"/>
      <c r="N91" s="5"/>
      <c r="O91" s="5"/>
      <c r="P91" s="5"/>
      <c r="Q91" s="5"/>
      <c r="R91" s="5"/>
      <c r="S91" s="5"/>
      <c r="T91" s="6"/>
      <c r="U91" s="5"/>
    </row>
    <row r="92" spans="1:21" x14ac:dyDescent="0.55000000000000004">
      <c r="A92" s="5"/>
      <c r="B92" s="5"/>
      <c r="C92" s="5"/>
      <c r="D92" s="5"/>
      <c r="E92" s="5"/>
      <c r="F92" s="5"/>
      <c r="G92" s="5"/>
      <c r="H92" s="5"/>
      <c r="I92" s="5"/>
      <c r="J92" s="5"/>
      <c r="K92" s="5"/>
      <c r="L92" s="5"/>
      <c r="M92" s="5"/>
      <c r="N92" s="5"/>
      <c r="O92" s="5"/>
      <c r="P92" s="5"/>
      <c r="Q92" s="5"/>
      <c r="R92" s="5"/>
      <c r="S92" s="5"/>
      <c r="T92" s="6"/>
      <c r="U92" s="5"/>
    </row>
    <row r="93" spans="1:21" x14ac:dyDescent="0.55000000000000004">
      <c r="A93" s="5"/>
      <c r="B93" s="5"/>
      <c r="C93" s="5"/>
      <c r="D93" s="5"/>
      <c r="E93" s="5"/>
      <c r="F93" s="5"/>
      <c r="G93" s="5"/>
      <c r="H93" s="5"/>
      <c r="I93" s="5"/>
      <c r="J93" s="5"/>
      <c r="K93" s="5"/>
      <c r="L93" s="5"/>
      <c r="M93" s="5"/>
      <c r="N93" s="5"/>
      <c r="O93" s="5"/>
      <c r="P93" s="5"/>
      <c r="Q93" s="5"/>
      <c r="R93" s="5"/>
      <c r="S93" s="5"/>
      <c r="T93" s="6"/>
      <c r="U93" s="5"/>
    </row>
    <row r="94" spans="1:21" x14ac:dyDescent="0.55000000000000004">
      <c r="A94" s="5"/>
      <c r="B94" s="5"/>
      <c r="C94" s="5"/>
      <c r="D94" s="5"/>
      <c r="E94" s="5"/>
      <c r="F94" s="5"/>
      <c r="G94" s="5"/>
      <c r="H94" s="5"/>
      <c r="I94" s="5"/>
      <c r="J94" s="5"/>
      <c r="K94" s="5"/>
      <c r="L94" s="5"/>
      <c r="M94" s="5"/>
      <c r="N94" s="5"/>
      <c r="O94" s="5"/>
      <c r="P94" s="5"/>
      <c r="Q94" s="5"/>
      <c r="R94" s="5"/>
      <c r="S94" s="5"/>
      <c r="T94" s="6"/>
      <c r="U94" s="5"/>
    </row>
    <row r="95" spans="1:21" x14ac:dyDescent="0.55000000000000004">
      <c r="A95" s="5"/>
      <c r="B95" s="5"/>
      <c r="C95" s="5"/>
      <c r="D95" s="5"/>
      <c r="E95" s="5"/>
      <c r="F95" s="5"/>
      <c r="G95" s="5"/>
      <c r="H95" s="5"/>
      <c r="I95" s="5"/>
      <c r="J95" s="5"/>
      <c r="K95" s="5"/>
      <c r="L95" s="5"/>
      <c r="M95" s="5"/>
      <c r="N95" s="5"/>
      <c r="O95" s="5"/>
      <c r="P95" s="5"/>
      <c r="Q95" s="5"/>
      <c r="R95" s="5"/>
      <c r="S95" s="5"/>
      <c r="T95" s="6"/>
      <c r="U95" s="5"/>
    </row>
    <row r="96" spans="1:21" x14ac:dyDescent="0.55000000000000004">
      <c r="A96" s="5"/>
      <c r="B96" s="5"/>
      <c r="C96" s="5"/>
      <c r="D96" s="5"/>
      <c r="E96" s="5"/>
      <c r="F96" s="5"/>
      <c r="G96" s="5"/>
      <c r="H96" s="5"/>
      <c r="I96" s="5"/>
      <c r="J96" s="5"/>
      <c r="K96" s="5"/>
      <c r="L96" s="5"/>
      <c r="M96" s="5"/>
      <c r="N96" s="5"/>
      <c r="O96" s="5"/>
      <c r="P96" s="5"/>
      <c r="Q96" s="5"/>
      <c r="R96" s="5"/>
      <c r="S96" s="5"/>
      <c r="T96" s="6"/>
      <c r="U96" s="5"/>
    </row>
    <row r="97" spans="1:21" x14ac:dyDescent="0.55000000000000004">
      <c r="A97" s="5"/>
      <c r="B97" s="5"/>
      <c r="C97" s="5"/>
      <c r="D97" s="5"/>
      <c r="E97" s="5"/>
      <c r="F97" s="5"/>
      <c r="G97" s="5"/>
      <c r="H97" s="5"/>
      <c r="I97" s="5"/>
      <c r="J97" s="5"/>
      <c r="K97" s="5"/>
      <c r="L97" s="5"/>
      <c r="M97" s="5"/>
      <c r="N97" s="5"/>
      <c r="O97" s="5"/>
      <c r="P97" s="5"/>
      <c r="Q97" s="5"/>
      <c r="R97" s="5"/>
      <c r="S97" s="5"/>
      <c r="T97" s="6"/>
      <c r="U97" s="5"/>
    </row>
    <row r="98" spans="1:21" x14ac:dyDescent="0.55000000000000004">
      <c r="A98" s="5"/>
      <c r="B98" s="5"/>
      <c r="C98" s="5"/>
      <c r="D98" s="5"/>
      <c r="E98" s="5"/>
      <c r="F98" s="5"/>
      <c r="G98" s="5"/>
      <c r="H98" s="5"/>
      <c r="I98" s="5"/>
      <c r="J98" s="5"/>
      <c r="K98" s="5"/>
      <c r="L98" s="5"/>
      <c r="M98" s="5"/>
      <c r="N98" s="5"/>
      <c r="O98" s="5"/>
      <c r="P98" s="5"/>
      <c r="Q98" s="5"/>
      <c r="R98" s="5"/>
      <c r="S98" s="5"/>
      <c r="T98" s="6"/>
      <c r="U98" s="5"/>
    </row>
    <row r="99" spans="1:21" x14ac:dyDescent="0.55000000000000004">
      <c r="A99" s="5"/>
      <c r="B99" s="5"/>
      <c r="C99" s="5"/>
      <c r="D99" s="5"/>
      <c r="E99" s="5"/>
      <c r="F99" s="5"/>
      <c r="G99" s="5"/>
      <c r="H99" s="5"/>
      <c r="I99" s="5"/>
      <c r="J99" s="5"/>
      <c r="K99" s="5"/>
      <c r="L99" s="5"/>
      <c r="M99" s="5"/>
      <c r="N99" s="5"/>
      <c r="O99" s="5"/>
      <c r="P99" s="5"/>
      <c r="Q99" s="5"/>
      <c r="R99" s="5"/>
      <c r="S99" s="5"/>
      <c r="T99" s="6"/>
      <c r="U99" s="5"/>
    </row>
    <row r="100" spans="1:21" x14ac:dyDescent="0.55000000000000004">
      <c r="A100" s="5"/>
      <c r="B100" s="5"/>
      <c r="C100" s="5"/>
      <c r="D100" s="5"/>
      <c r="E100" s="5"/>
      <c r="F100" s="5"/>
      <c r="G100" s="5"/>
      <c r="H100" s="5"/>
      <c r="I100" s="5"/>
      <c r="J100" s="5"/>
      <c r="K100" s="5"/>
      <c r="L100" s="5"/>
      <c r="M100" s="5"/>
      <c r="N100" s="5"/>
      <c r="O100" s="5"/>
      <c r="P100" s="5"/>
      <c r="Q100" s="5"/>
      <c r="R100" s="5"/>
      <c r="S100" s="5"/>
      <c r="T100" s="6"/>
      <c r="U100" s="5"/>
    </row>
    <row r="101" spans="1:21" x14ac:dyDescent="0.55000000000000004">
      <c r="A101" s="5"/>
      <c r="B101" s="5"/>
      <c r="C101" s="5"/>
      <c r="D101" s="5"/>
      <c r="E101" s="5"/>
      <c r="F101" s="5"/>
      <c r="G101" s="5"/>
      <c r="H101" s="5"/>
      <c r="I101" s="5"/>
      <c r="J101" s="5"/>
      <c r="K101" s="5"/>
      <c r="L101" s="5"/>
      <c r="M101" s="5"/>
      <c r="N101" s="5"/>
      <c r="O101" s="5"/>
      <c r="P101" s="5"/>
      <c r="Q101" s="5"/>
      <c r="R101" s="5"/>
      <c r="S101" s="5"/>
      <c r="T101" s="6"/>
      <c r="U101" s="5"/>
    </row>
    <row r="102" spans="1:21" x14ac:dyDescent="0.55000000000000004">
      <c r="A102" s="5"/>
      <c r="B102" s="5"/>
      <c r="C102" s="5"/>
      <c r="D102" s="5"/>
      <c r="E102" s="5"/>
      <c r="F102" s="5"/>
      <c r="G102" s="5"/>
      <c r="H102" s="5"/>
      <c r="I102" s="5"/>
      <c r="J102" s="5"/>
      <c r="K102" s="5"/>
      <c r="L102" s="5"/>
      <c r="M102" s="5"/>
      <c r="N102" s="5"/>
      <c r="O102" s="5"/>
      <c r="P102" s="5"/>
      <c r="Q102" s="5"/>
      <c r="R102" s="5"/>
      <c r="S102" s="5"/>
      <c r="T102" s="6"/>
      <c r="U102" s="5"/>
    </row>
    <row r="103" spans="1:21" x14ac:dyDescent="0.55000000000000004">
      <c r="A103" s="5"/>
      <c r="B103" s="5"/>
      <c r="C103" s="5"/>
      <c r="D103" s="5"/>
      <c r="E103" s="5"/>
      <c r="F103" s="5"/>
      <c r="G103" s="5"/>
      <c r="H103" s="5"/>
      <c r="I103" s="5"/>
      <c r="J103" s="5"/>
      <c r="K103" s="5"/>
      <c r="L103" s="5"/>
      <c r="M103" s="5"/>
      <c r="N103" s="5"/>
      <c r="O103" s="5"/>
      <c r="P103" s="5"/>
      <c r="Q103" s="5"/>
      <c r="R103" s="5"/>
      <c r="S103" s="5"/>
      <c r="T103" s="6"/>
      <c r="U103" s="5"/>
    </row>
    <row r="104" spans="1:21" x14ac:dyDescent="0.55000000000000004">
      <c r="A104" s="5"/>
      <c r="B104" s="5"/>
      <c r="C104" s="5"/>
      <c r="D104" s="5"/>
      <c r="E104" s="5"/>
      <c r="F104" s="5"/>
      <c r="G104" s="5"/>
      <c r="H104" s="5"/>
      <c r="I104" s="5"/>
      <c r="J104" s="5"/>
      <c r="K104" s="5"/>
      <c r="L104" s="5"/>
      <c r="M104" s="5"/>
      <c r="N104" s="5"/>
      <c r="O104" s="5"/>
      <c r="P104" s="5"/>
      <c r="Q104" s="5"/>
      <c r="R104" s="5"/>
      <c r="S104" s="5"/>
      <c r="T104" s="6"/>
      <c r="U104" s="5"/>
    </row>
    <row r="105" spans="1:21" x14ac:dyDescent="0.55000000000000004">
      <c r="A105" s="5"/>
      <c r="B105" s="5"/>
      <c r="C105" s="5"/>
      <c r="D105" s="5"/>
      <c r="E105" s="5"/>
      <c r="F105" s="5"/>
      <c r="G105" s="5"/>
      <c r="H105" s="5"/>
      <c r="I105" s="5"/>
      <c r="J105" s="5"/>
      <c r="K105" s="5"/>
      <c r="L105" s="5"/>
      <c r="M105" s="5"/>
      <c r="N105" s="5"/>
      <c r="O105" s="5"/>
      <c r="P105" s="5"/>
      <c r="Q105" s="5"/>
      <c r="R105" s="5"/>
      <c r="S105" s="5"/>
      <c r="T105" s="6"/>
      <c r="U105" s="5"/>
    </row>
    <row r="106" spans="1:21" x14ac:dyDescent="0.55000000000000004">
      <c r="A106" s="5"/>
      <c r="B106" s="5"/>
      <c r="C106" s="5"/>
      <c r="D106" s="5"/>
      <c r="E106" s="5"/>
      <c r="F106" s="5"/>
      <c r="G106" s="5"/>
      <c r="H106" s="5"/>
      <c r="I106" s="5"/>
      <c r="J106" s="5"/>
      <c r="K106" s="5"/>
      <c r="L106" s="5"/>
      <c r="M106" s="5"/>
      <c r="N106" s="5"/>
      <c r="O106" s="5"/>
      <c r="P106" s="5"/>
      <c r="Q106" s="5"/>
      <c r="R106" s="5"/>
      <c r="S106" s="5"/>
      <c r="T106" s="6"/>
      <c r="U106" s="5"/>
    </row>
    <row r="107" spans="1:21" x14ac:dyDescent="0.55000000000000004">
      <c r="A107" s="5"/>
      <c r="B107" s="5"/>
      <c r="C107" s="5"/>
      <c r="D107" s="5"/>
      <c r="E107" s="5"/>
      <c r="F107" s="5"/>
      <c r="G107" s="5"/>
      <c r="H107" s="5"/>
      <c r="I107" s="5"/>
      <c r="J107" s="5"/>
      <c r="K107" s="5"/>
      <c r="L107" s="5"/>
      <c r="M107" s="5"/>
      <c r="N107" s="5"/>
      <c r="O107" s="5"/>
      <c r="P107" s="5"/>
      <c r="Q107" s="5"/>
      <c r="R107" s="5"/>
      <c r="S107" s="5"/>
      <c r="T107" s="6"/>
      <c r="U107" s="5"/>
    </row>
    <row r="108" spans="1:21" x14ac:dyDescent="0.55000000000000004">
      <c r="A108" s="5"/>
      <c r="B108" s="5"/>
      <c r="C108" s="5"/>
      <c r="D108" s="5"/>
      <c r="E108" s="5"/>
      <c r="F108" s="5"/>
      <c r="G108" s="5"/>
      <c r="H108" s="5"/>
      <c r="I108" s="5"/>
      <c r="J108" s="5"/>
      <c r="K108" s="5"/>
      <c r="L108" s="5"/>
      <c r="M108" s="5"/>
      <c r="N108" s="5"/>
      <c r="O108" s="5"/>
      <c r="P108" s="5"/>
      <c r="Q108" s="5"/>
      <c r="R108" s="5"/>
      <c r="S108" s="5"/>
      <c r="T108" s="6"/>
      <c r="U108" s="5"/>
    </row>
    <row r="109" spans="1:21" x14ac:dyDescent="0.55000000000000004">
      <c r="A109" s="5"/>
      <c r="B109" s="5"/>
      <c r="C109" s="5"/>
      <c r="D109" s="5"/>
      <c r="E109" s="5"/>
      <c r="F109" s="5"/>
      <c r="G109" s="5"/>
      <c r="H109" s="5"/>
      <c r="I109" s="5"/>
      <c r="J109" s="5"/>
      <c r="K109" s="5"/>
      <c r="L109" s="5"/>
      <c r="M109" s="5"/>
      <c r="N109" s="5"/>
      <c r="O109" s="5"/>
      <c r="P109" s="5"/>
      <c r="Q109" s="5"/>
      <c r="R109" s="5"/>
      <c r="S109" s="5"/>
      <c r="T109" s="6"/>
      <c r="U109" s="5"/>
    </row>
    <row r="110" spans="1:21" x14ac:dyDescent="0.55000000000000004">
      <c r="A110" s="5"/>
      <c r="B110" s="5"/>
      <c r="C110" s="5"/>
      <c r="D110" s="5"/>
      <c r="E110" s="5"/>
      <c r="F110" s="5"/>
      <c r="G110" s="5"/>
      <c r="H110" s="5"/>
      <c r="I110" s="5"/>
      <c r="J110" s="5"/>
      <c r="K110" s="5"/>
      <c r="L110" s="5"/>
      <c r="M110" s="5"/>
      <c r="N110" s="5"/>
      <c r="O110" s="5"/>
      <c r="P110" s="5"/>
      <c r="Q110" s="5"/>
      <c r="R110" s="5"/>
      <c r="S110" s="5"/>
      <c r="T110" s="6"/>
      <c r="U110" s="5"/>
    </row>
    <row r="111" spans="1:21" x14ac:dyDescent="0.55000000000000004">
      <c r="A111" s="5"/>
      <c r="B111" s="5"/>
      <c r="C111" s="5"/>
      <c r="D111" s="5"/>
      <c r="E111" s="5"/>
      <c r="F111" s="5"/>
      <c r="G111" s="5"/>
      <c r="H111" s="5"/>
      <c r="I111" s="5"/>
      <c r="J111" s="5"/>
      <c r="K111" s="5"/>
      <c r="L111" s="5"/>
      <c r="M111" s="5"/>
      <c r="N111" s="5"/>
      <c r="O111" s="5"/>
      <c r="P111" s="5"/>
      <c r="Q111" s="5"/>
      <c r="R111" s="5"/>
      <c r="S111" s="5"/>
      <c r="T111" s="6"/>
      <c r="U111" s="5"/>
    </row>
    <row r="112" spans="1:21" x14ac:dyDescent="0.55000000000000004">
      <c r="A112" s="5"/>
      <c r="B112" s="5"/>
      <c r="C112" s="5"/>
      <c r="D112" s="5"/>
      <c r="E112" s="5"/>
      <c r="F112" s="5"/>
      <c r="G112" s="5"/>
      <c r="H112" s="5"/>
      <c r="I112" s="5"/>
      <c r="J112" s="5"/>
      <c r="K112" s="5"/>
      <c r="L112" s="5"/>
      <c r="M112" s="5"/>
      <c r="N112" s="5"/>
      <c r="O112" s="5"/>
      <c r="P112" s="5"/>
      <c r="Q112" s="5"/>
      <c r="R112" s="5"/>
      <c r="S112" s="5"/>
      <c r="T112" s="6"/>
      <c r="U112" s="5"/>
    </row>
    <row r="113" spans="1:21" x14ac:dyDescent="0.55000000000000004">
      <c r="A113" s="5"/>
      <c r="B113" s="5"/>
      <c r="C113" s="5"/>
      <c r="D113" s="5"/>
      <c r="E113" s="5"/>
      <c r="F113" s="5"/>
      <c r="G113" s="5"/>
      <c r="H113" s="5"/>
      <c r="I113" s="5"/>
      <c r="J113" s="5"/>
      <c r="K113" s="5"/>
      <c r="L113" s="5"/>
      <c r="M113" s="5"/>
      <c r="N113" s="5"/>
      <c r="O113" s="5"/>
      <c r="P113" s="5"/>
      <c r="Q113" s="5"/>
      <c r="R113" s="5"/>
      <c r="S113" s="5"/>
      <c r="T113" s="6"/>
      <c r="U113" s="5"/>
    </row>
    <row r="114" spans="1:21" x14ac:dyDescent="0.55000000000000004">
      <c r="A114" s="5"/>
      <c r="B114" s="5"/>
      <c r="C114" s="5"/>
      <c r="D114" s="5"/>
      <c r="E114" s="5"/>
      <c r="F114" s="5"/>
      <c r="G114" s="5"/>
      <c r="H114" s="5"/>
      <c r="I114" s="5"/>
      <c r="J114" s="5"/>
      <c r="K114" s="5"/>
      <c r="L114" s="5"/>
      <c r="M114" s="5"/>
      <c r="N114" s="5"/>
      <c r="O114" s="5"/>
      <c r="P114" s="5"/>
      <c r="Q114" s="5"/>
      <c r="R114" s="5"/>
      <c r="S114" s="5"/>
      <c r="T114" s="6"/>
      <c r="U114" s="5"/>
    </row>
    <row r="115" spans="1:21" x14ac:dyDescent="0.55000000000000004">
      <c r="A115" s="5"/>
      <c r="B115" s="5"/>
      <c r="C115" s="5"/>
      <c r="D115" s="5"/>
      <c r="E115" s="5"/>
      <c r="F115" s="5"/>
      <c r="G115" s="5"/>
      <c r="H115" s="5"/>
      <c r="I115" s="5"/>
      <c r="J115" s="5"/>
      <c r="K115" s="5"/>
      <c r="L115" s="5"/>
      <c r="M115" s="5"/>
      <c r="N115" s="5"/>
      <c r="O115" s="5"/>
      <c r="P115" s="5"/>
      <c r="Q115" s="5"/>
      <c r="R115" s="5"/>
      <c r="S115" s="5"/>
      <c r="T115" s="6"/>
      <c r="U115" s="5"/>
    </row>
    <row r="116" spans="1:21" x14ac:dyDescent="0.55000000000000004">
      <c r="A116" s="5"/>
      <c r="B116" s="5"/>
      <c r="C116" s="5"/>
      <c r="D116" s="5"/>
      <c r="E116" s="5"/>
      <c r="F116" s="5"/>
      <c r="G116" s="5"/>
      <c r="H116" s="5"/>
      <c r="I116" s="5"/>
      <c r="J116" s="5"/>
      <c r="K116" s="5"/>
      <c r="L116" s="5"/>
      <c r="M116" s="5"/>
      <c r="N116" s="5"/>
      <c r="O116" s="5"/>
      <c r="P116" s="5"/>
      <c r="Q116" s="5"/>
      <c r="R116" s="5"/>
      <c r="S116" s="5"/>
      <c r="T116" s="6"/>
      <c r="U116" s="5"/>
    </row>
    <row r="117" spans="1:21" x14ac:dyDescent="0.55000000000000004">
      <c r="A117" s="5"/>
      <c r="B117" s="5"/>
      <c r="C117" s="5"/>
      <c r="D117" s="5"/>
      <c r="E117" s="5"/>
      <c r="F117" s="5"/>
      <c r="G117" s="5"/>
      <c r="H117" s="5"/>
      <c r="I117" s="5"/>
      <c r="J117" s="5"/>
      <c r="K117" s="5"/>
      <c r="L117" s="5"/>
      <c r="M117" s="5"/>
      <c r="N117" s="5"/>
      <c r="O117" s="5"/>
      <c r="P117" s="5"/>
      <c r="Q117" s="5"/>
      <c r="R117" s="5"/>
      <c r="S117" s="5"/>
      <c r="T117" s="6"/>
      <c r="U117" s="5"/>
    </row>
    <row r="118" spans="1:21" x14ac:dyDescent="0.55000000000000004">
      <c r="A118" s="5"/>
      <c r="B118" s="5"/>
      <c r="C118" s="5"/>
      <c r="D118" s="5"/>
      <c r="E118" s="5"/>
      <c r="F118" s="5"/>
      <c r="G118" s="5"/>
      <c r="H118" s="5"/>
      <c r="I118" s="5"/>
      <c r="J118" s="5"/>
      <c r="K118" s="5"/>
      <c r="L118" s="5"/>
      <c r="M118" s="5"/>
      <c r="N118" s="5"/>
      <c r="O118" s="5"/>
      <c r="P118" s="5"/>
      <c r="Q118" s="5"/>
      <c r="R118" s="5"/>
      <c r="S118" s="5"/>
      <c r="T118" s="6"/>
      <c r="U118" s="5"/>
    </row>
    <row r="119" spans="1:21" x14ac:dyDescent="0.55000000000000004">
      <c r="A119" s="5"/>
      <c r="B119" s="5"/>
      <c r="C119" s="5"/>
      <c r="D119" s="5"/>
      <c r="E119" s="5"/>
      <c r="F119" s="5"/>
      <c r="G119" s="5"/>
      <c r="H119" s="5"/>
      <c r="I119" s="5"/>
      <c r="J119" s="5"/>
      <c r="K119" s="5"/>
      <c r="L119" s="5"/>
      <c r="M119" s="5"/>
      <c r="N119" s="5"/>
      <c r="O119" s="5"/>
      <c r="P119" s="5"/>
      <c r="Q119" s="5"/>
      <c r="R119" s="5"/>
      <c r="S119" s="5"/>
      <c r="T119" s="6"/>
      <c r="U119" s="5"/>
    </row>
    <row r="120" spans="1:21" x14ac:dyDescent="0.55000000000000004">
      <c r="A120" s="5"/>
      <c r="B120" s="5"/>
      <c r="C120" s="5"/>
      <c r="D120" s="5"/>
      <c r="E120" s="5"/>
      <c r="F120" s="5"/>
      <c r="G120" s="5"/>
      <c r="H120" s="5"/>
      <c r="I120" s="5"/>
      <c r="J120" s="5"/>
      <c r="K120" s="5"/>
      <c r="L120" s="5"/>
      <c r="M120" s="5"/>
      <c r="N120" s="5"/>
      <c r="O120" s="5"/>
      <c r="P120" s="5"/>
      <c r="Q120" s="5"/>
      <c r="R120" s="5"/>
      <c r="S120" s="5"/>
      <c r="T120" s="6"/>
      <c r="U120" s="5"/>
    </row>
    <row r="121" spans="1:21" x14ac:dyDescent="0.55000000000000004">
      <c r="A121" s="5"/>
      <c r="B121" s="5"/>
      <c r="C121" s="5"/>
      <c r="D121" s="5"/>
      <c r="E121" s="5"/>
      <c r="F121" s="5"/>
      <c r="G121" s="5"/>
      <c r="H121" s="5"/>
      <c r="I121" s="5"/>
      <c r="J121" s="5"/>
      <c r="K121" s="5"/>
      <c r="L121" s="5"/>
      <c r="M121" s="5"/>
      <c r="N121" s="5"/>
      <c r="O121" s="5"/>
      <c r="P121" s="5"/>
      <c r="Q121" s="5"/>
      <c r="R121" s="5"/>
      <c r="S121" s="5"/>
      <c r="T121" s="6"/>
      <c r="U121" s="5"/>
    </row>
    <row r="122" spans="1:21" x14ac:dyDescent="0.55000000000000004">
      <c r="A122" s="5"/>
      <c r="B122" s="5"/>
      <c r="C122" s="5"/>
      <c r="D122" s="5"/>
      <c r="E122" s="5"/>
      <c r="F122" s="5"/>
      <c r="G122" s="5"/>
      <c r="H122" s="5"/>
      <c r="I122" s="5"/>
      <c r="J122" s="5"/>
      <c r="K122" s="5"/>
      <c r="L122" s="5"/>
      <c r="M122" s="5"/>
      <c r="N122" s="5"/>
      <c r="O122" s="5"/>
      <c r="P122" s="5"/>
      <c r="Q122" s="5"/>
      <c r="R122" s="5"/>
      <c r="S122" s="5"/>
      <c r="T122" s="6"/>
      <c r="U122" s="5"/>
    </row>
    <row r="123" spans="1:21" x14ac:dyDescent="0.55000000000000004">
      <c r="A123" s="5"/>
      <c r="B123" s="5"/>
      <c r="C123" s="5"/>
      <c r="D123" s="5"/>
      <c r="E123" s="5"/>
      <c r="F123" s="5"/>
      <c r="G123" s="5"/>
      <c r="H123" s="5"/>
      <c r="I123" s="5"/>
      <c r="J123" s="5"/>
      <c r="K123" s="5"/>
      <c r="L123" s="5"/>
      <c r="M123" s="5"/>
      <c r="N123" s="5"/>
      <c r="O123" s="5"/>
      <c r="P123" s="5"/>
      <c r="Q123" s="5"/>
      <c r="R123" s="5"/>
      <c r="S123" s="5"/>
      <c r="T123" s="6"/>
      <c r="U123" s="5"/>
    </row>
    <row r="124" spans="1:21" x14ac:dyDescent="0.55000000000000004">
      <c r="A124" s="5"/>
      <c r="B124" s="5"/>
      <c r="C124" s="5"/>
      <c r="D124" s="5"/>
      <c r="E124" s="5"/>
      <c r="F124" s="5"/>
      <c r="G124" s="5"/>
      <c r="H124" s="5"/>
      <c r="I124" s="5"/>
      <c r="J124" s="5"/>
      <c r="K124" s="5"/>
      <c r="L124" s="5"/>
      <c r="M124" s="5"/>
      <c r="N124" s="5"/>
      <c r="O124" s="5"/>
      <c r="P124" s="5"/>
      <c r="Q124" s="5"/>
      <c r="R124" s="5"/>
      <c r="S124" s="5"/>
      <c r="T124" s="6"/>
      <c r="U124" s="5"/>
    </row>
    <row r="125" spans="1:21" x14ac:dyDescent="0.55000000000000004">
      <c r="A125" s="5"/>
      <c r="B125" s="5"/>
      <c r="C125" s="5"/>
      <c r="D125" s="5"/>
      <c r="E125" s="5"/>
      <c r="F125" s="5"/>
      <c r="G125" s="5"/>
      <c r="H125" s="5"/>
      <c r="I125" s="5"/>
      <c r="J125" s="5"/>
      <c r="K125" s="5"/>
      <c r="L125" s="5"/>
      <c r="M125" s="5"/>
      <c r="N125" s="5"/>
      <c r="O125" s="5"/>
      <c r="P125" s="5"/>
      <c r="Q125" s="5"/>
      <c r="R125" s="5"/>
      <c r="S125" s="5"/>
      <c r="T125" s="6"/>
      <c r="U125" s="5"/>
    </row>
    <row r="126" spans="1:21" x14ac:dyDescent="0.55000000000000004">
      <c r="A126" s="5"/>
      <c r="B126" s="5"/>
      <c r="C126" s="5"/>
      <c r="D126" s="5"/>
      <c r="E126" s="5"/>
      <c r="F126" s="5"/>
      <c r="G126" s="5"/>
      <c r="H126" s="5"/>
      <c r="I126" s="5"/>
      <c r="J126" s="5"/>
      <c r="K126" s="5"/>
      <c r="L126" s="5"/>
      <c r="M126" s="5"/>
      <c r="N126" s="5"/>
      <c r="O126" s="5"/>
      <c r="P126" s="5"/>
      <c r="Q126" s="5"/>
      <c r="R126" s="5"/>
      <c r="S126" s="5"/>
      <c r="T126" s="6"/>
      <c r="U126" s="5"/>
    </row>
    <row r="127" spans="1:21" x14ac:dyDescent="0.55000000000000004">
      <c r="A127" s="5"/>
      <c r="B127" s="5"/>
      <c r="C127" s="5"/>
      <c r="D127" s="5"/>
      <c r="E127" s="5"/>
      <c r="F127" s="5"/>
      <c r="G127" s="5"/>
      <c r="H127" s="5"/>
      <c r="I127" s="5"/>
      <c r="J127" s="5"/>
      <c r="K127" s="5"/>
      <c r="L127" s="5"/>
      <c r="M127" s="5"/>
      <c r="N127" s="5"/>
      <c r="O127" s="5"/>
      <c r="P127" s="5"/>
      <c r="Q127" s="5"/>
      <c r="R127" s="5"/>
      <c r="S127" s="5"/>
      <c r="T127" s="6"/>
      <c r="U127" s="5"/>
    </row>
    <row r="128" spans="1:21" x14ac:dyDescent="0.55000000000000004">
      <c r="A128" s="5"/>
      <c r="B128" s="5"/>
      <c r="C128" s="5"/>
      <c r="D128" s="5"/>
      <c r="E128" s="5"/>
      <c r="F128" s="5"/>
      <c r="G128" s="5"/>
      <c r="H128" s="5"/>
      <c r="I128" s="5"/>
      <c r="J128" s="5"/>
      <c r="K128" s="5"/>
      <c r="L128" s="5"/>
      <c r="M128" s="5"/>
      <c r="N128" s="5"/>
      <c r="O128" s="5"/>
      <c r="P128" s="5"/>
      <c r="Q128" s="5"/>
      <c r="R128" s="5"/>
      <c r="S128" s="5"/>
      <c r="T128" s="6"/>
      <c r="U128" s="5"/>
    </row>
    <row r="129" spans="1:21" x14ac:dyDescent="0.55000000000000004">
      <c r="A129" s="5"/>
      <c r="B129" s="5"/>
      <c r="C129" s="5"/>
      <c r="D129" s="5"/>
      <c r="E129" s="5"/>
      <c r="F129" s="5"/>
      <c r="G129" s="5"/>
      <c r="H129" s="5"/>
      <c r="I129" s="5"/>
      <c r="J129" s="5"/>
      <c r="K129" s="5"/>
      <c r="L129" s="5"/>
      <c r="M129" s="5"/>
      <c r="N129" s="5"/>
      <c r="O129" s="5"/>
      <c r="P129" s="5"/>
      <c r="Q129" s="5"/>
      <c r="R129" s="5"/>
      <c r="S129" s="5"/>
      <c r="T129" s="6"/>
      <c r="U129" s="5"/>
    </row>
    <row r="130" spans="1:21" x14ac:dyDescent="0.55000000000000004">
      <c r="A130" s="5"/>
      <c r="B130" s="5"/>
      <c r="C130" s="5"/>
      <c r="D130" s="5"/>
      <c r="E130" s="5"/>
      <c r="F130" s="5"/>
      <c r="G130" s="5"/>
      <c r="H130" s="5"/>
      <c r="I130" s="5"/>
      <c r="J130" s="5"/>
      <c r="K130" s="5"/>
      <c r="L130" s="5"/>
      <c r="M130" s="5"/>
      <c r="N130" s="5"/>
      <c r="O130" s="5"/>
      <c r="P130" s="5"/>
      <c r="Q130" s="5"/>
      <c r="R130" s="5"/>
      <c r="S130" s="5"/>
      <c r="T130" s="6"/>
      <c r="U130" s="5"/>
    </row>
    <row r="131" spans="1:21" x14ac:dyDescent="0.55000000000000004">
      <c r="A131" s="5"/>
      <c r="B131" s="5"/>
      <c r="C131" s="5"/>
      <c r="D131" s="5"/>
      <c r="E131" s="5"/>
      <c r="F131" s="5"/>
      <c r="G131" s="5"/>
      <c r="H131" s="5"/>
      <c r="I131" s="5"/>
      <c r="J131" s="5"/>
      <c r="K131" s="5"/>
      <c r="L131" s="5"/>
      <c r="M131" s="5"/>
      <c r="N131" s="5"/>
      <c r="O131" s="5"/>
      <c r="P131" s="5"/>
      <c r="Q131" s="5"/>
      <c r="R131" s="5"/>
      <c r="S131" s="5"/>
      <c r="T131" s="6"/>
      <c r="U131" s="5"/>
    </row>
    <row r="132" spans="1:21" x14ac:dyDescent="0.55000000000000004">
      <c r="A132" s="5"/>
      <c r="B132" s="5"/>
      <c r="C132" s="5"/>
      <c r="D132" s="5"/>
      <c r="E132" s="5"/>
      <c r="F132" s="5"/>
      <c r="G132" s="5"/>
      <c r="H132" s="5"/>
      <c r="I132" s="5"/>
      <c r="J132" s="5"/>
      <c r="K132" s="5"/>
      <c r="L132" s="5"/>
      <c r="M132" s="5"/>
      <c r="N132" s="5"/>
      <c r="O132" s="5"/>
      <c r="P132" s="5"/>
      <c r="Q132" s="5"/>
      <c r="R132" s="5"/>
      <c r="S132" s="5"/>
      <c r="T132" s="6"/>
      <c r="U132" s="5"/>
    </row>
    <row r="133" spans="1:21" x14ac:dyDescent="0.55000000000000004">
      <c r="A133" s="5"/>
      <c r="B133" s="5"/>
      <c r="C133" s="5"/>
      <c r="D133" s="5"/>
      <c r="E133" s="5"/>
      <c r="F133" s="5"/>
      <c r="G133" s="5"/>
      <c r="H133" s="5"/>
      <c r="I133" s="5"/>
      <c r="J133" s="5"/>
      <c r="K133" s="5"/>
      <c r="L133" s="5"/>
      <c r="M133" s="5"/>
      <c r="N133" s="5"/>
      <c r="O133" s="5"/>
      <c r="P133" s="5"/>
      <c r="Q133" s="5"/>
      <c r="R133" s="5"/>
      <c r="S133" s="5"/>
      <c r="T133" s="6"/>
      <c r="U133" s="5"/>
    </row>
    <row r="134" spans="1:21" x14ac:dyDescent="0.55000000000000004">
      <c r="A134" s="5"/>
      <c r="B134" s="5"/>
      <c r="C134" s="5"/>
      <c r="D134" s="5"/>
      <c r="E134" s="5"/>
      <c r="F134" s="5"/>
      <c r="G134" s="5"/>
      <c r="H134" s="5"/>
      <c r="I134" s="5"/>
      <c r="J134" s="5"/>
      <c r="K134" s="5"/>
      <c r="L134" s="5"/>
      <c r="M134" s="5"/>
      <c r="N134" s="5"/>
      <c r="O134" s="5"/>
      <c r="P134" s="5"/>
      <c r="Q134" s="5"/>
      <c r="R134" s="5"/>
      <c r="S134" s="5"/>
      <c r="T134" s="6"/>
      <c r="U134" s="5"/>
    </row>
    <row r="135" spans="1:21" x14ac:dyDescent="0.55000000000000004">
      <c r="A135" s="5"/>
      <c r="B135" s="5"/>
      <c r="C135" s="5"/>
      <c r="D135" s="5"/>
      <c r="E135" s="5"/>
      <c r="F135" s="5"/>
      <c r="G135" s="5"/>
      <c r="H135" s="5"/>
      <c r="I135" s="5"/>
      <c r="J135" s="5"/>
      <c r="K135" s="5"/>
      <c r="L135" s="5"/>
      <c r="M135" s="5"/>
      <c r="N135" s="5"/>
      <c r="O135" s="5"/>
      <c r="P135" s="5"/>
      <c r="Q135" s="5"/>
      <c r="R135" s="5"/>
      <c r="S135" s="5"/>
      <c r="T135" s="6"/>
      <c r="U135" s="5"/>
    </row>
    <row r="136" spans="1:21" x14ac:dyDescent="0.55000000000000004">
      <c r="A136" s="5"/>
      <c r="B136" s="5"/>
      <c r="C136" s="5"/>
      <c r="D136" s="5"/>
      <c r="E136" s="5"/>
      <c r="F136" s="5"/>
      <c r="G136" s="5"/>
      <c r="H136" s="5"/>
      <c r="I136" s="5"/>
      <c r="J136" s="5"/>
      <c r="K136" s="5"/>
      <c r="L136" s="5"/>
      <c r="M136" s="5"/>
      <c r="N136" s="5"/>
      <c r="O136" s="5"/>
      <c r="P136" s="5"/>
      <c r="Q136" s="5"/>
      <c r="R136" s="5"/>
      <c r="S136" s="5"/>
      <c r="T136" s="6"/>
      <c r="U136" s="5"/>
    </row>
    <row r="137" spans="1:21" x14ac:dyDescent="0.55000000000000004">
      <c r="A137" s="5"/>
      <c r="B137" s="5"/>
      <c r="C137" s="5"/>
      <c r="D137" s="5"/>
      <c r="E137" s="5"/>
      <c r="F137" s="5"/>
      <c r="G137" s="5"/>
      <c r="H137" s="5"/>
      <c r="I137" s="5"/>
      <c r="J137" s="5"/>
      <c r="K137" s="5"/>
      <c r="L137" s="5"/>
      <c r="M137" s="5"/>
      <c r="N137" s="5"/>
      <c r="O137" s="5"/>
      <c r="P137" s="5"/>
      <c r="Q137" s="5"/>
      <c r="R137" s="5"/>
      <c r="S137" s="5"/>
      <c r="T137" s="6"/>
      <c r="U137" s="5"/>
    </row>
    <row r="138" spans="1:21" x14ac:dyDescent="0.55000000000000004">
      <c r="A138" s="5"/>
      <c r="B138" s="5"/>
      <c r="C138" s="5"/>
      <c r="D138" s="5"/>
      <c r="E138" s="5"/>
      <c r="F138" s="5"/>
      <c r="G138" s="5"/>
      <c r="H138" s="5"/>
      <c r="I138" s="5"/>
      <c r="J138" s="5"/>
      <c r="K138" s="5"/>
      <c r="L138" s="5"/>
      <c r="M138" s="5"/>
      <c r="N138" s="5"/>
      <c r="O138" s="5"/>
      <c r="P138" s="5"/>
      <c r="Q138" s="5"/>
      <c r="R138" s="5"/>
      <c r="S138" s="5"/>
      <c r="T138" s="6"/>
      <c r="U138" s="5"/>
    </row>
    <row r="139" spans="1:21" x14ac:dyDescent="0.55000000000000004">
      <c r="A139" s="5"/>
      <c r="B139" s="5"/>
      <c r="C139" s="5"/>
      <c r="D139" s="5"/>
      <c r="E139" s="5"/>
      <c r="F139" s="5"/>
      <c r="G139" s="5"/>
      <c r="H139" s="5"/>
      <c r="I139" s="5"/>
      <c r="J139" s="5"/>
      <c r="K139" s="5"/>
      <c r="L139" s="5"/>
      <c r="M139" s="5"/>
      <c r="N139" s="5"/>
      <c r="O139" s="5"/>
      <c r="P139" s="5"/>
      <c r="Q139" s="5"/>
      <c r="R139" s="5"/>
      <c r="S139" s="5"/>
      <c r="T139" s="6"/>
      <c r="U139" s="5"/>
    </row>
    <row r="140" spans="1:21" x14ac:dyDescent="0.55000000000000004">
      <c r="A140" s="5"/>
      <c r="B140" s="5"/>
      <c r="C140" s="5"/>
      <c r="D140" s="5"/>
      <c r="E140" s="5"/>
      <c r="F140" s="5"/>
      <c r="G140" s="5"/>
      <c r="H140" s="5"/>
      <c r="I140" s="5"/>
      <c r="J140" s="5"/>
      <c r="K140" s="5"/>
      <c r="L140" s="5"/>
      <c r="M140" s="5"/>
      <c r="N140" s="5"/>
      <c r="O140" s="5"/>
      <c r="P140" s="5"/>
      <c r="Q140" s="5"/>
      <c r="R140" s="5"/>
      <c r="S140" s="5"/>
      <c r="T140" s="6"/>
      <c r="U140" s="5"/>
    </row>
    <row r="141" spans="1:21" x14ac:dyDescent="0.55000000000000004">
      <c r="A141" s="5"/>
      <c r="B141" s="5"/>
      <c r="C141" s="5"/>
      <c r="D141" s="5"/>
      <c r="E141" s="5"/>
      <c r="F141" s="5"/>
      <c r="G141" s="5"/>
      <c r="H141" s="5"/>
      <c r="I141" s="5"/>
      <c r="J141" s="5"/>
      <c r="K141" s="5"/>
      <c r="L141" s="5"/>
      <c r="M141" s="5"/>
      <c r="N141" s="5"/>
      <c r="O141" s="5"/>
      <c r="P141" s="5"/>
      <c r="Q141" s="5"/>
      <c r="R141" s="5"/>
      <c r="S141" s="5"/>
      <c r="T141" s="6"/>
      <c r="U141" s="5"/>
    </row>
    <row r="142" spans="1:21" x14ac:dyDescent="0.55000000000000004">
      <c r="A142" s="5"/>
      <c r="B142" s="5"/>
      <c r="C142" s="5"/>
      <c r="D142" s="5"/>
      <c r="E142" s="5"/>
      <c r="F142" s="5"/>
      <c r="G142" s="5"/>
      <c r="H142" s="5"/>
      <c r="I142" s="5"/>
      <c r="J142" s="5"/>
      <c r="K142" s="5"/>
      <c r="L142" s="5"/>
      <c r="M142" s="5"/>
      <c r="N142" s="5"/>
      <c r="O142" s="5"/>
      <c r="P142" s="5"/>
      <c r="Q142" s="5"/>
      <c r="R142" s="5"/>
      <c r="S142" s="5"/>
      <c r="T142" s="6"/>
      <c r="U142" s="5"/>
    </row>
    <row r="143" spans="1:21" x14ac:dyDescent="0.55000000000000004">
      <c r="A143" s="5"/>
      <c r="B143" s="5"/>
      <c r="C143" s="5"/>
      <c r="D143" s="5"/>
      <c r="E143" s="5"/>
      <c r="F143" s="5"/>
      <c r="G143" s="5"/>
      <c r="H143" s="5"/>
      <c r="I143" s="5"/>
      <c r="J143" s="5"/>
      <c r="K143" s="5"/>
      <c r="L143" s="5"/>
      <c r="M143" s="5"/>
      <c r="N143" s="5"/>
      <c r="O143" s="5"/>
      <c r="P143" s="5"/>
      <c r="Q143" s="5"/>
      <c r="R143" s="5"/>
      <c r="S143" s="5"/>
      <c r="T143" s="6"/>
      <c r="U143" s="5"/>
    </row>
    <row r="144" spans="1:21" x14ac:dyDescent="0.55000000000000004">
      <c r="A144" s="5"/>
      <c r="B144" s="5"/>
      <c r="C144" s="5"/>
      <c r="D144" s="5"/>
      <c r="E144" s="5"/>
      <c r="F144" s="5"/>
      <c r="G144" s="5"/>
      <c r="H144" s="5"/>
      <c r="I144" s="5"/>
      <c r="J144" s="5"/>
      <c r="K144" s="5"/>
      <c r="L144" s="5"/>
      <c r="M144" s="5"/>
      <c r="N144" s="5"/>
      <c r="O144" s="5"/>
      <c r="P144" s="5"/>
      <c r="Q144" s="5"/>
      <c r="R144" s="5"/>
      <c r="S144" s="5"/>
      <c r="T144" s="6"/>
      <c r="U144" s="5"/>
    </row>
    <row r="145" spans="1:21" x14ac:dyDescent="0.55000000000000004">
      <c r="A145" s="5"/>
      <c r="B145" s="5"/>
      <c r="C145" s="5"/>
      <c r="D145" s="5"/>
      <c r="E145" s="5"/>
      <c r="F145" s="5"/>
      <c r="G145" s="5"/>
      <c r="H145" s="5"/>
      <c r="I145" s="5"/>
      <c r="J145" s="5"/>
      <c r="K145" s="5"/>
      <c r="L145" s="5"/>
      <c r="M145" s="5"/>
      <c r="N145" s="5"/>
      <c r="O145" s="5"/>
      <c r="P145" s="5"/>
      <c r="Q145" s="5"/>
      <c r="R145" s="5"/>
      <c r="S145" s="5"/>
      <c r="T145" s="6"/>
      <c r="U145" s="5"/>
    </row>
    <row r="146" spans="1:21" x14ac:dyDescent="0.55000000000000004">
      <c r="A146" s="5"/>
      <c r="B146" s="5"/>
      <c r="C146" s="5"/>
      <c r="D146" s="5"/>
      <c r="E146" s="5"/>
      <c r="F146" s="5"/>
      <c r="G146" s="5"/>
      <c r="H146" s="5"/>
      <c r="I146" s="5"/>
      <c r="J146" s="5"/>
      <c r="K146" s="5"/>
      <c r="L146" s="5"/>
      <c r="M146" s="5"/>
      <c r="N146" s="5"/>
      <c r="O146" s="5"/>
      <c r="P146" s="5"/>
      <c r="Q146" s="5"/>
      <c r="R146" s="5"/>
      <c r="S146" s="5"/>
      <c r="T146" s="6"/>
      <c r="U146" s="5"/>
    </row>
    <row r="147" spans="1:21" x14ac:dyDescent="0.55000000000000004">
      <c r="A147" s="5"/>
      <c r="B147" s="5"/>
      <c r="C147" s="5"/>
      <c r="D147" s="5"/>
      <c r="E147" s="5"/>
      <c r="F147" s="5"/>
      <c r="G147" s="5"/>
      <c r="H147" s="5"/>
      <c r="I147" s="5"/>
      <c r="J147" s="5"/>
      <c r="K147" s="5"/>
      <c r="L147" s="5"/>
      <c r="M147" s="5"/>
      <c r="N147" s="5"/>
      <c r="O147" s="5"/>
      <c r="P147" s="5"/>
      <c r="Q147" s="5"/>
      <c r="R147" s="5"/>
      <c r="S147" s="5"/>
      <c r="T147" s="6"/>
      <c r="U147" s="5"/>
    </row>
    <row r="148" spans="1:21" x14ac:dyDescent="0.55000000000000004">
      <c r="A148" s="5"/>
      <c r="B148" s="5"/>
      <c r="C148" s="5"/>
      <c r="D148" s="5"/>
      <c r="E148" s="5"/>
      <c r="F148" s="5"/>
      <c r="G148" s="5"/>
      <c r="H148" s="5"/>
      <c r="I148" s="5"/>
      <c r="J148" s="5"/>
      <c r="K148" s="5"/>
      <c r="L148" s="5"/>
      <c r="M148" s="5"/>
      <c r="N148" s="5"/>
      <c r="O148" s="5"/>
      <c r="P148" s="5"/>
      <c r="Q148" s="5"/>
      <c r="R148" s="5"/>
      <c r="S148" s="5"/>
      <c r="T148" s="6"/>
      <c r="U148" s="5"/>
    </row>
    <row r="149" spans="1:21" x14ac:dyDescent="0.55000000000000004">
      <c r="A149" s="5"/>
      <c r="B149" s="5"/>
      <c r="C149" s="5"/>
      <c r="D149" s="5"/>
      <c r="E149" s="5"/>
      <c r="F149" s="5"/>
      <c r="G149" s="5"/>
      <c r="H149" s="5"/>
      <c r="I149" s="5"/>
      <c r="J149" s="5"/>
      <c r="K149" s="5"/>
      <c r="L149" s="5"/>
      <c r="M149" s="5"/>
      <c r="N149" s="5"/>
      <c r="O149" s="5"/>
      <c r="P149" s="5"/>
      <c r="Q149" s="5"/>
      <c r="R149" s="5"/>
      <c r="S149" s="5"/>
      <c r="T149" s="6"/>
      <c r="U149" s="5"/>
    </row>
    <row r="150" spans="1:21" x14ac:dyDescent="0.55000000000000004">
      <c r="A150" s="5"/>
      <c r="B150" s="5"/>
      <c r="C150" s="5"/>
      <c r="D150" s="5"/>
      <c r="E150" s="5"/>
      <c r="F150" s="5"/>
      <c r="G150" s="5"/>
      <c r="H150" s="5"/>
      <c r="I150" s="5"/>
      <c r="J150" s="5"/>
      <c r="K150" s="5"/>
      <c r="L150" s="5"/>
      <c r="M150" s="5"/>
      <c r="N150" s="5"/>
      <c r="O150" s="5"/>
      <c r="P150" s="5"/>
      <c r="Q150" s="5"/>
      <c r="R150" s="5"/>
      <c r="S150" s="5"/>
      <c r="T150" s="6"/>
      <c r="U150" s="5"/>
    </row>
    <row r="151" spans="1:21" x14ac:dyDescent="0.55000000000000004">
      <c r="A151" s="5"/>
      <c r="B151" s="5"/>
      <c r="C151" s="5"/>
      <c r="D151" s="5"/>
      <c r="E151" s="5"/>
      <c r="F151" s="5"/>
      <c r="G151" s="5"/>
      <c r="H151" s="5"/>
      <c r="I151" s="5"/>
      <c r="J151" s="5"/>
      <c r="K151" s="5"/>
      <c r="L151" s="5"/>
      <c r="M151" s="5"/>
      <c r="N151" s="5"/>
      <c r="O151" s="5"/>
      <c r="P151" s="5"/>
      <c r="Q151" s="5"/>
      <c r="R151" s="5"/>
      <c r="S151" s="5"/>
      <c r="T151" s="6"/>
      <c r="U151" s="5"/>
    </row>
    <row r="152" spans="1:21" x14ac:dyDescent="0.55000000000000004">
      <c r="A152" s="5"/>
      <c r="B152" s="5"/>
      <c r="C152" s="5"/>
      <c r="D152" s="5"/>
      <c r="E152" s="5"/>
      <c r="F152" s="5"/>
      <c r="G152" s="5"/>
      <c r="H152" s="5"/>
      <c r="I152" s="5"/>
      <c r="J152" s="5"/>
      <c r="K152" s="5"/>
      <c r="L152" s="5"/>
      <c r="M152" s="5"/>
      <c r="N152" s="5"/>
      <c r="O152" s="5"/>
      <c r="P152" s="5"/>
      <c r="Q152" s="5"/>
      <c r="R152" s="5"/>
      <c r="S152" s="5"/>
      <c r="T152" s="6"/>
      <c r="U152" s="5"/>
    </row>
    <row r="153" spans="1:21" x14ac:dyDescent="0.55000000000000004">
      <c r="A153" s="5"/>
      <c r="B153" s="5"/>
      <c r="C153" s="5"/>
      <c r="D153" s="5"/>
      <c r="E153" s="5"/>
      <c r="F153" s="5"/>
      <c r="G153" s="5"/>
      <c r="H153" s="5"/>
      <c r="I153" s="5"/>
      <c r="J153" s="5"/>
      <c r="K153" s="5"/>
      <c r="L153" s="5"/>
      <c r="M153" s="5"/>
      <c r="N153" s="5"/>
      <c r="O153" s="5"/>
      <c r="P153" s="5"/>
      <c r="Q153" s="5"/>
      <c r="R153" s="5"/>
      <c r="S153" s="5"/>
      <c r="T153" s="6"/>
      <c r="U153" s="5"/>
    </row>
    <row r="154" spans="1:21" x14ac:dyDescent="0.55000000000000004">
      <c r="A154" s="5"/>
      <c r="B154" s="5"/>
      <c r="C154" s="5"/>
      <c r="D154" s="5"/>
      <c r="E154" s="5"/>
      <c r="F154" s="5"/>
      <c r="G154" s="5"/>
      <c r="H154" s="5"/>
      <c r="I154" s="5"/>
      <c r="J154" s="5"/>
      <c r="K154" s="5"/>
      <c r="L154" s="5"/>
      <c r="M154" s="5"/>
      <c r="N154" s="5"/>
      <c r="O154" s="5"/>
      <c r="P154" s="5"/>
      <c r="Q154" s="5"/>
      <c r="R154" s="5"/>
      <c r="S154" s="5"/>
      <c r="T154" s="6"/>
      <c r="U154" s="5"/>
    </row>
    <row r="155" spans="1:21" x14ac:dyDescent="0.55000000000000004">
      <c r="A155" s="5"/>
      <c r="B155" s="5"/>
      <c r="C155" s="5"/>
      <c r="D155" s="5"/>
      <c r="E155" s="5"/>
      <c r="F155" s="5"/>
      <c r="G155" s="5"/>
      <c r="H155" s="5"/>
      <c r="I155" s="5"/>
      <c r="J155" s="5"/>
      <c r="K155" s="5"/>
      <c r="L155" s="5"/>
      <c r="M155" s="5"/>
      <c r="N155" s="5"/>
      <c r="O155" s="5"/>
      <c r="P155" s="5"/>
      <c r="Q155" s="5"/>
      <c r="R155" s="5"/>
      <c r="S155" s="5"/>
      <c r="T155" s="6"/>
      <c r="U155" s="5"/>
    </row>
    <row r="156" spans="1:21" x14ac:dyDescent="0.55000000000000004">
      <c r="A156" s="5"/>
      <c r="B156" s="5"/>
      <c r="C156" s="5"/>
      <c r="D156" s="5"/>
      <c r="E156" s="5"/>
      <c r="F156" s="5"/>
      <c r="G156" s="5"/>
      <c r="H156" s="5"/>
      <c r="I156" s="5"/>
      <c r="J156" s="5"/>
      <c r="K156" s="5"/>
      <c r="L156" s="5"/>
      <c r="M156" s="5"/>
      <c r="N156" s="5"/>
      <c r="O156" s="5"/>
      <c r="P156" s="5"/>
      <c r="Q156" s="5"/>
      <c r="R156" s="5"/>
      <c r="S156" s="5"/>
      <c r="T156" s="6"/>
      <c r="U156" s="5"/>
    </row>
    <row r="157" spans="1:21" x14ac:dyDescent="0.55000000000000004">
      <c r="A157" s="5"/>
      <c r="B157" s="5"/>
      <c r="C157" s="5"/>
      <c r="D157" s="5"/>
      <c r="E157" s="5"/>
      <c r="F157" s="5"/>
      <c r="G157" s="5"/>
      <c r="H157" s="5"/>
      <c r="I157" s="5"/>
      <c r="J157" s="5"/>
      <c r="K157" s="5"/>
      <c r="L157" s="5"/>
      <c r="M157" s="5"/>
      <c r="N157" s="5"/>
      <c r="O157" s="5"/>
      <c r="P157" s="5"/>
      <c r="Q157" s="5"/>
      <c r="R157" s="5"/>
      <c r="S157" s="5"/>
      <c r="T157" s="6"/>
      <c r="U157" s="5"/>
    </row>
    <row r="158" spans="1:21" x14ac:dyDescent="0.55000000000000004">
      <c r="A158" s="5"/>
      <c r="B158" s="5"/>
      <c r="C158" s="5"/>
      <c r="D158" s="5"/>
      <c r="E158" s="5"/>
      <c r="F158" s="5"/>
      <c r="G158" s="5"/>
      <c r="H158" s="5"/>
      <c r="I158" s="5"/>
      <c r="J158" s="5"/>
      <c r="K158" s="5"/>
      <c r="L158" s="5"/>
      <c r="M158" s="5"/>
      <c r="N158" s="5"/>
      <c r="O158" s="5"/>
      <c r="P158" s="5"/>
      <c r="Q158" s="5"/>
      <c r="R158" s="5"/>
      <c r="S158" s="5"/>
      <c r="T158" s="6"/>
      <c r="U158" s="5"/>
    </row>
    <row r="159" spans="1:21" x14ac:dyDescent="0.55000000000000004">
      <c r="A159" s="5"/>
      <c r="B159" s="5"/>
      <c r="C159" s="5"/>
      <c r="D159" s="5"/>
      <c r="E159" s="5"/>
      <c r="F159" s="5"/>
      <c r="G159" s="5"/>
      <c r="H159" s="5"/>
      <c r="I159" s="5"/>
      <c r="J159" s="5"/>
      <c r="K159" s="5"/>
      <c r="L159" s="5"/>
      <c r="M159" s="5"/>
      <c r="N159" s="5"/>
      <c r="O159" s="5"/>
      <c r="P159" s="5"/>
      <c r="Q159" s="5"/>
      <c r="R159" s="5"/>
      <c r="S159" s="5"/>
      <c r="T159" s="6"/>
      <c r="U159" s="5"/>
    </row>
    <row r="160" spans="1:21" x14ac:dyDescent="0.55000000000000004">
      <c r="A160" s="5"/>
      <c r="B160" s="5"/>
      <c r="C160" s="5"/>
      <c r="D160" s="5"/>
      <c r="E160" s="5"/>
      <c r="F160" s="5"/>
      <c r="G160" s="5"/>
      <c r="H160" s="5"/>
      <c r="I160" s="5"/>
      <c r="J160" s="5"/>
      <c r="K160" s="5"/>
      <c r="L160" s="5"/>
      <c r="M160" s="5"/>
      <c r="N160" s="5"/>
      <c r="O160" s="5"/>
      <c r="P160" s="5"/>
      <c r="Q160" s="5"/>
      <c r="R160" s="5"/>
      <c r="S160" s="5"/>
      <c r="T160" s="6"/>
      <c r="U160" s="5"/>
    </row>
    <row r="161" spans="1:21" x14ac:dyDescent="0.55000000000000004">
      <c r="A161" s="5"/>
      <c r="B161" s="5"/>
      <c r="C161" s="5"/>
      <c r="D161" s="5"/>
      <c r="E161" s="5"/>
      <c r="F161" s="5"/>
      <c r="G161" s="5"/>
      <c r="H161" s="5"/>
      <c r="I161" s="5"/>
      <c r="J161" s="5"/>
      <c r="K161" s="5"/>
      <c r="L161" s="5"/>
      <c r="M161" s="5"/>
      <c r="N161" s="5"/>
      <c r="O161" s="5"/>
      <c r="P161" s="5"/>
      <c r="Q161" s="5"/>
      <c r="R161" s="5"/>
      <c r="S161" s="5"/>
      <c r="T161" s="6"/>
      <c r="U161" s="5"/>
    </row>
    <row r="162" spans="1:21" x14ac:dyDescent="0.55000000000000004">
      <c r="A162" s="5"/>
      <c r="B162" s="5"/>
      <c r="C162" s="5"/>
      <c r="D162" s="5"/>
      <c r="E162" s="5"/>
      <c r="F162" s="5"/>
      <c r="G162" s="5"/>
      <c r="H162" s="5"/>
      <c r="I162" s="5"/>
      <c r="J162" s="5"/>
      <c r="K162" s="5"/>
      <c r="L162" s="5"/>
      <c r="M162" s="5"/>
      <c r="N162" s="5"/>
      <c r="O162" s="5"/>
      <c r="P162" s="5"/>
      <c r="Q162" s="5"/>
      <c r="R162" s="5"/>
      <c r="S162" s="5"/>
      <c r="T162" s="6"/>
      <c r="U162" s="5"/>
    </row>
    <row r="163" spans="1:21" x14ac:dyDescent="0.55000000000000004">
      <c r="A163" s="5"/>
      <c r="B163" s="5"/>
      <c r="C163" s="5"/>
      <c r="D163" s="5"/>
      <c r="E163" s="5"/>
      <c r="F163" s="5"/>
      <c r="G163" s="5"/>
      <c r="H163" s="5"/>
      <c r="I163" s="5"/>
      <c r="J163" s="5"/>
      <c r="K163" s="5"/>
      <c r="L163" s="5"/>
      <c r="M163" s="5"/>
      <c r="N163" s="5"/>
      <c r="O163" s="5"/>
      <c r="P163" s="5"/>
      <c r="Q163" s="5"/>
      <c r="R163" s="5"/>
      <c r="S163" s="5"/>
      <c r="T163" s="6"/>
      <c r="U163" s="5"/>
    </row>
    <row r="164" spans="1:21" x14ac:dyDescent="0.55000000000000004">
      <c r="A164" s="5"/>
      <c r="B164" s="5"/>
      <c r="C164" s="5"/>
      <c r="D164" s="5"/>
      <c r="E164" s="5"/>
      <c r="F164" s="5"/>
      <c r="G164" s="5"/>
      <c r="H164" s="5"/>
      <c r="I164" s="5"/>
      <c r="J164" s="5"/>
      <c r="K164" s="5"/>
      <c r="L164" s="5"/>
      <c r="M164" s="5"/>
      <c r="N164" s="5"/>
      <c r="O164" s="5"/>
      <c r="P164" s="5"/>
      <c r="Q164" s="5"/>
      <c r="R164" s="5"/>
      <c r="S164" s="5"/>
      <c r="T164" s="6"/>
      <c r="U164" s="5"/>
    </row>
    <row r="165" spans="1:21" x14ac:dyDescent="0.55000000000000004">
      <c r="A165" s="5"/>
      <c r="B165" s="5"/>
      <c r="C165" s="5"/>
      <c r="D165" s="5"/>
      <c r="E165" s="5"/>
      <c r="F165" s="5"/>
      <c r="G165" s="5"/>
      <c r="H165" s="5"/>
      <c r="I165" s="5"/>
      <c r="J165" s="5"/>
      <c r="K165" s="5"/>
      <c r="L165" s="5"/>
      <c r="M165" s="5"/>
      <c r="N165" s="5"/>
      <c r="O165" s="5"/>
      <c r="P165" s="5"/>
      <c r="Q165" s="5"/>
      <c r="R165" s="5"/>
      <c r="S165" s="5"/>
      <c r="T165" s="6"/>
      <c r="U165" s="5"/>
    </row>
    <row r="166" spans="1:21" x14ac:dyDescent="0.55000000000000004">
      <c r="A166" s="5"/>
      <c r="B166" s="5"/>
      <c r="C166" s="5"/>
      <c r="D166" s="5"/>
      <c r="E166" s="5"/>
      <c r="F166" s="5"/>
      <c r="G166" s="5"/>
      <c r="H166" s="5"/>
      <c r="I166" s="5"/>
      <c r="J166" s="5"/>
      <c r="K166" s="5"/>
      <c r="L166" s="5"/>
      <c r="M166" s="5"/>
      <c r="N166" s="5"/>
      <c r="O166" s="5"/>
      <c r="P166" s="5"/>
      <c r="Q166" s="5"/>
      <c r="R166" s="5"/>
      <c r="S166" s="5"/>
      <c r="T166" s="6"/>
      <c r="U166" s="5"/>
    </row>
    <row r="167" spans="1:21" x14ac:dyDescent="0.55000000000000004">
      <c r="A167" s="5"/>
      <c r="B167" s="5"/>
      <c r="C167" s="5"/>
      <c r="D167" s="5"/>
      <c r="E167" s="5"/>
      <c r="F167" s="5"/>
      <c r="G167" s="5"/>
      <c r="H167" s="5"/>
      <c r="I167" s="5"/>
      <c r="J167" s="5"/>
      <c r="K167" s="5"/>
      <c r="L167" s="5"/>
      <c r="M167" s="5"/>
      <c r="N167" s="5"/>
      <c r="O167" s="5"/>
      <c r="P167" s="5"/>
      <c r="Q167" s="5"/>
      <c r="R167" s="5"/>
      <c r="S167" s="5"/>
      <c r="T167" s="6"/>
      <c r="U167" s="5"/>
    </row>
    <row r="168" spans="1:21" x14ac:dyDescent="0.55000000000000004">
      <c r="A168" s="5"/>
      <c r="B168" s="5"/>
      <c r="C168" s="5"/>
      <c r="D168" s="5"/>
      <c r="E168" s="5"/>
      <c r="F168" s="5"/>
      <c r="G168" s="5"/>
      <c r="H168" s="5"/>
      <c r="I168" s="5"/>
      <c r="J168" s="5"/>
      <c r="K168" s="5"/>
      <c r="L168" s="5"/>
      <c r="M168" s="5"/>
      <c r="N168" s="5"/>
      <c r="O168" s="5"/>
      <c r="P168" s="5"/>
      <c r="Q168" s="5"/>
      <c r="R168" s="5"/>
      <c r="S168" s="5"/>
      <c r="T168" s="6"/>
      <c r="U168" s="5"/>
    </row>
    <row r="169" spans="1:21" x14ac:dyDescent="0.55000000000000004">
      <c r="A169" s="5"/>
      <c r="B169" s="5"/>
      <c r="C169" s="5"/>
      <c r="D169" s="5"/>
      <c r="E169" s="5"/>
      <c r="F169" s="5"/>
      <c r="G169" s="5"/>
      <c r="H169" s="5"/>
      <c r="I169" s="5"/>
      <c r="J169" s="5"/>
      <c r="K169" s="5"/>
      <c r="L169" s="5"/>
      <c r="M169" s="5"/>
      <c r="N169" s="5"/>
      <c r="O169" s="5"/>
      <c r="P169" s="5"/>
      <c r="Q169" s="5"/>
      <c r="R169" s="5"/>
      <c r="S169" s="5"/>
      <c r="T169" s="6"/>
      <c r="U169" s="5"/>
    </row>
    <row r="170" spans="1:21" x14ac:dyDescent="0.55000000000000004">
      <c r="A170" s="5"/>
      <c r="B170" s="5"/>
      <c r="C170" s="5"/>
      <c r="D170" s="5"/>
      <c r="E170" s="5"/>
      <c r="F170" s="5"/>
      <c r="G170" s="5"/>
      <c r="H170" s="5"/>
      <c r="I170" s="5"/>
      <c r="J170" s="5"/>
      <c r="K170" s="5"/>
      <c r="L170" s="5"/>
      <c r="M170" s="5"/>
      <c r="N170" s="5"/>
      <c r="O170" s="5"/>
      <c r="P170" s="5"/>
      <c r="Q170" s="5"/>
      <c r="R170" s="5"/>
      <c r="S170" s="5"/>
      <c r="T170" s="6"/>
      <c r="U170" s="5"/>
    </row>
    <row r="171" spans="1:21" x14ac:dyDescent="0.55000000000000004">
      <c r="A171" s="5"/>
      <c r="B171" s="5"/>
      <c r="C171" s="5"/>
      <c r="D171" s="5"/>
      <c r="E171" s="5"/>
      <c r="F171" s="5"/>
      <c r="G171" s="5"/>
      <c r="H171" s="5"/>
      <c r="I171" s="5"/>
      <c r="J171" s="5"/>
      <c r="K171" s="5"/>
      <c r="L171" s="5"/>
      <c r="M171" s="5"/>
      <c r="N171" s="5"/>
      <c r="O171" s="5"/>
      <c r="P171" s="5"/>
      <c r="Q171" s="5"/>
      <c r="R171" s="5"/>
      <c r="S171" s="5"/>
      <c r="T171" s="6"/>
      <c r="U171" s="5"/>
    </row>
    <row r="172" spans="1:21" x14ac:dyDescent="0.55000000000000004">
      <c r="A172" s="5"/>
      <c r="B172" s="5"/>
      <c r="C172" s="5"/>
      <c r="D172" s="5"/>
      <c r="E172" s="5"/>
      <c r="F172" s="5"/>
      <c r="G172" s="5"/>
      <c r="H172" s="5"/>
      <c r="I172" s="5"/>
      <c r="J172" s="5"/>
      <c r="K172" s="5"/>
      <c r="L172" s="5"/>
      <c r="M172" s="5"/>
      <c r="N172" s="5"/>
      <c r="O172" s="5"/>
      <c r="P172" s="5"/>
      <c r="Q172" s="5"/>
      <c r="R172" s="5"/>
      <c r="S172" s="5"/>
      <c r="T172" s="6"/>
      <c r="U172" s="5"/>
    </row>
    <row r="173" spans="1:21" x14ac:dyDescent="0.55000000000000004">
      <c r="A173" s="5"/>
      <c r="B173" s="5"/>
      <c r="C173" s="5"/>
      <c r="D173" s="5"/>
      <c r="E173" s="5"/>
      <c r="F173" s="5"/>
      <c r="G173" s="5"/>
      <c r="H173" s="5"/>
      <c r="I173" s="5"/>
      <c r="J173" s="5"/>
      <c r="K173" s="5"/>
      <c r="L173" s="5"/>
      <c r="M173" s="5"/>
      <c r="N173" s="5"/>
      <c r="O173" s="5"/>
      <c r="P173" s="5"/>
      <c r="Q173" s="5"/>
      <c r="R173" s="5"/>
      <c r="S173" s="5"/>
      <c r="T173" s="6"/>
      <c r="U173" s="5"/>
    </row>
    <row r="174" spans="1:21" x14ac:dyDescent="0.55000000000000004">
      <c r="A174" s="5"/>
      <c r="B174" s="5"/>
      <c r="C174" s="5"/>
      <c r="D174" s="5"/>
      <c r="E174" s="5"/>
      <c r="F174" s="5"/>
      <c r="G174" s="5"/>
      <c r="H174" s="5"/>
      <c r="I174" s="5"/>
      <c r="J174" s="5"/>
      <c r="K174" s="5"/>
      <c r="L174" s="5"/>
      <c r="M174" s="5"/>
      <c r="N174" s="5"/>
      <c r="O174" s="5"/>
      <c r="P174" s="5"/>
      <c r="Q174" s="5"/>
      <c r="R174" s="5"/>
      <c r="S174" s="5"/>
      <c r="T174" s="6"/>
      <c r="U174" s="5"/>
    </row>
    <row r="175" spans="1:21" x14ac:dyDescent="0.55000000000000004">
      <c r="A175" s="5"/>
      <c r="B175" s="5"/>
      <c r="C175" s="5"/>
      <c r="D175" s="5"/>
      <c r="E175" s="5"/>
      <c r="F175" s="5"/>
      <c r="G175" s="5"/>
      <c r="H175" s="5"/>
      <c r="I175" s="5"/>
      <c r="J175" s="5"/>
      <c r="K175" s="5"/>
      <c r="L175" s="5"/>
      <c r="M175" s="5"/>
      <c r="N175" s="5"/>
      <c r="O175" s="5"/>
      <c r="P175" s="5"/>
      <c r="Q175" s="5"/>
      <c r="R175" s="5"/>
      <c r="S175" s="5"/>
      <c r="T175" s="6"/>
      <c r="U175" s="5"/>
    </row>
    <row r="176" spans="1:21" x14ac:dyDescent="0.55000000000000004">
      <c r="A176" s="5"/>
      <c r="B176" s="5"/>
      <c r="C176" s="5"/>
      <c r="D176" s="5"/>
      <c r="E176" s="5"/>
      <c r="F176" s="5"/>
      <c r="G176" s="5"/>
      <c r="H176" s="5"/>
      <c r="I176" s="5"/>
      <c r="J176" s="5"/>
      <c r="K176" s="5"/>
      <c r="L176" s="5"/>
      <c r="M176" s="5"/>
      <c r="N176" s="5"/>
      <c r="O176" s="5"/>
      <c r="P176" s="5"/>
      <c r="Q176" s="5"/>
      <c r="R176" s="5"/>
      <c r="S176" s="5"/>
      <c r="T176" s="6"/>
      <c r="U176" s="5"/>
    </row>
    <row r="177" spans="1:21" x14ac:dyDescent="0.55000000000000004">
      <c r="A177" s="5"/>
      <c r="B177" s="5"/>
      <c r="C177" s="5"/>
      <c r="D177" s="5"/>
      <c r="E177" s="5"/>
      <c r="F177" s="5"/>
      <c r="G177" s="5"/>
      <c r="H177" s="5"/>
      <c r="I177" s="5"/>
      <c r="J177" s="5"/>
      <c r="K177" s="5"/>
      <c r="L177" s="5"/>
      <c r="M177" s="5"/>
      <c r="N177" s="5"/>
      <c r="O177" s="5"/>
      <c r="P177" s="5"/>
      <c r="Q177" s="5"/>
      <c r="R177" s="5"/>
      <c r="S177" s="5"/>
      <c r="T177" s="6"/>
      <c r="U177" s="5"/>
    </row>
    <row r="178" spans="1:21" x14ac:dyDescent="0.55000000000000004">
      <c r="A178" s="5"/>
      <c r="B178" s="5"/>
      <c r="C178" s="5"/>
      <c r="D178" s="5"/>
      <c r="E178" s="5"/>
      <c r="F178" s="5"/>
      <c r="G178" s="5"/>
      <c r="H178" s="5"/>
      <c r="I178" s="5"/>
      <c r="J178" s="5"/>
      <c r="K178" s="5"/>
      <c r="L178" s="5"/>
      <c r="M178" s="5"/>
      <c r="N178" s="5"/>
      <c r="O178" s="5"/>
      <c r="P178" s="5"/>
      <c r="Q178" s="5"/>
      <c r="R178" s="5"/>
      <c r="S178" s="5"/>
      <c r="T178" s="6"/>
      <c r="U178" s="5"/>
    </row>
    <row r="179" spans="1:21" x14ac:dyDescent="0.55000000000000004">
      <c r="A179" s="5"/>
      <c r="B179" s="5"/>
      <c r="C179" s="5"/>
      <c r="D179" s="5"/>
      <c r="E179" s="5"/>
      <c r="F179" s="5"/>
      <c r="G179" s="5"/>
      <c r="H179" s="5"/>
      <c r="I179" s="5"/>
      <c r="J179" s="5"/>
      <c r="K179" s="5"/>
      <c r="L179" s="5"/>
      <c r="M179" s="5"/>
      <c r="N179" s="5"/>
      <c r="O179" s="5"/>
      <c r="P179" s="5"/>
      <c r="Q179" s="5"/>
      <c r="R179" s="5"/>
      <c r="S179" s="5"/>
      <c r="T179" s="6"/>
      <c r="U179" s="5"/>
    </row>
    <row r="180" spans="1:21" x14ac:dyDescent="0.55000000000000004">
      <c r="A180" s="5"/>
      <c r="B180" s="5"/>
      <c r="C180" s="5"/>
      <c r="D180" s="5"/>
      <c r="E180" s="5"/>
      <c r="F180" s="5"/>
      <c r="G180" s="5"/>
      <c r="H180" s="5"/>
      <c r="I180" s="5"/>
      <c r="J180" s="5"/>
      <c r="K180" s="5"/>
      <c r="L180" s="5"/>
      <c r="M180" s="5"/>
      <c r="N180" s="5"/>
      <c r="O180" s="5"/>
      <c r="P180" s="5"/>
      <c r="Q180" s="5"/>
      <c r="R180" s="5"/>
      <c r="S180" s="5"/>
      <c r="T180" s="6"/>
      <c r="U180" s="5"/>
    </row>
    <row r="181" spans="1:21" x14ac:dyDescent="0.55000000000000004">
      <c r="A181" s="5"/>
      <c r="B181" s="5"/>
      <c r="C181" s="5"/>
      <c r="D181" s="5"/>
      <c r="E181" s="5"/>
      <c r="F181" s="5"/>
      <c r="G181" s="5"/>
      <c r="H181" s="5"/>
      <c r="I181" s="5"/>
      <c r="J181" s="5"/>
      <c r="K181" s="5"/>
      <c r="L181" s="5"/>
      <c r="M181" s="5"/>
      <c r="N181" s="5"/>
      <c r="O181" s="5"/>
      <c r="P181" s="5"/>
      <c r="Q181" s="5"/>
      <c r="R181" s="5"/>
      <c r="S181" s="5"/>
      <c r="T181" s="6"/>
      <c r="U181" s="5"/>
    </row>
    <row r="182" spans="1:21" x14ac:dyDescent="0.55000000000000004">
      <c r="A182" s="5"/>
      <c r="B182" s="5"/>
      <c r="C182" s="5"/>
      <c r="D182" s="5"/>
      <c r="E182" s="5"/>
      <c r="F182" s="5"/>
      <c r="G182" s="5"/>
      <c r="H182" s="5"/>
      <c r="I182" s="5"/>
      <c r="J182" s="5"/>
      <c r="K182" s="5"/>
      <c r="L182" s="5"/>
      <c r="M182" s="5"/>
      <c r="N182" s="5"/>
      <c r="O182" s="5"/>
      <c r="P182" s="5"/>
      <c r="Q182" s="5"/>
      <c r="R182" s="5"/>
      <c r="S182" s="5"/>
      <c r="T182" s="6"/>
      <c r="U182" s="5"/>
    </row>
    <row r="183" spans="1:21" x14ac:dyDescent="0.55000000000000004">
      <c r="A183" s="5"/>
      <c r="B183" s="5"/>
      <c r="C183" s="5"/>
      <c r="D183" s="5"/>
      <c r="E183" s="5"/>
      <c r="F183" s="5"/>
      <c r="G183" s="5"/>
      <c r="H183" s="5"/>
      <c r="I183" s="5"/>
      <c r="J183" s="5"/>
      <c r="K183" s="5"/>
      <c r="L183" s="5"/>
      <c r="M183" s="5"/>
      <c r="N183" s="5"/>
      <c r="O183" s="5"/>
      <c r="P183" s="5"/>
      <c r="Q183" s="5"/>
      <c r="R183" s="5"/>
      <c r="S183" s="5"/>
      <c r="T183" s="6"/>
      <c r="U183" s="5"/>
    </row>
    <row r="184" spans="1:21" x14ac:dyDescent="0.55000000000000004">
      <c r="A184" s="5"/>
      <c r="B184" s="5"/>
      <c r="C184" s="5"/>
      <c r="D184" s="5"/>
      <c r="E184" s="5"/>
      <c r="F184" s="5"/>
      <c r="G184" s="5"/>
      <c r="H184" s="5"/>
      <c r="I184" s="5"/>
      <c r="J184" s="5"/>
      <c r="K184" s="5"/>
      <c r="L184" s="5"/>
      <c r="M184" s="5"/>
      <c r="N184" s="5"/>
      <c r="O184" s="5"/>
      <c r="P184" s="5"/>
      <c r="Q184" s="5"/>
      <c r="R184" s="5"/>
      <c r="S184" s="5"/>
      <c r="T184" s="6"/>
      <c r="U184" s="5"/>
    </row>
    <row r="185" spans="1:21" x14ac:dyDescent="0.55000000000000004">
      <c r="A185" s="5"/>
      <c r="B185" s="5"/>
      <c r="C185" s="5"/>
      <c r="D185" s="5"/>
      <c r="E185" s="5"/>
      <c r="F185" s="5"/>
      <c r="G185" s="5"/>
      <c r="H185" s="5"/>
      <c r="I185" s="5"/>
      <c r="J185" s="5"/>
      <c r="K185" s="5"/>
      <c r="L185" s="5"/>
      <c r="M185" s="5"/>
      <c r="N185" s="5"/>
      <c r="O185" s="5"/>
      <c r="P185" s="5"/>
      <c r="Q185" s="5"/>
      <c r="R185" s="5"/>
      <c r="S185" s="5"/>
      <c r="T185" s="6"/>
      <c r="U185" s="5"/>
    </row>
    <row r="186" spans="1:21" x14ac:dyDescent="0.55000000000000004">
      <c r="A186" s="5"/>
      <c r="B186" s="5"/>
      <c r="C186" s="5"/>
      <c r="D186" s="5"/>
      <c r="E186" s="5"/>
      <c r="F186" s="5"/>
      <c r="G186" s="5"/>
      <c r="H186" s="5"/>
      <c r="I186" s="5"/>
      <c r="J186" s="5"/>
      <c r="K186" s="5"/>
      <c r="L186" s="5"/>
      <c r="M186" s="5"/>
      <c r="N186" s="5"/>
      <c r="O186" s="5"/>
      <c r="P186" s="5"/>
      <c r="Q186" s="5"/>
      <c r="R186" s="5"/>
      <c r="S186" s="5"/>
      <c r="T186" s="6"/>
      <c r="U186" s="5"/>
    </row>
    <row r="187" spans="1:21" x14ac:dyDescent="0.55000000000000004">
      <c r="A187" s="5"/>
      <c r="B187" s="5"/>
      <c r="C187" s="5"/>
      <c r="D187" s="5"/>
      <c r="E187" s="5"/>
      <c r="F187" s="5"/>
      <c r="G187" s="5"/>
      <c r="H187" s="5"/>
      <c r="I187" s="5"/>
      <c r="J187" s="5"/>
      <c r="K187" s="5"/>
      <c r="L187" s="5"/>
      <c r="M187" s="5"/>
      <c r="N187" s="5"/>
      <c r="O187" s="5"/>
      <c r="P187" s="5"/>
      <c r="Q187" s="5"/>
      <c r="R187" s="5"/>
      <c r="S187" s="5"/>
      <c r="T187" s="6"/>
      <c r="U187" s="5"/>
    </row>
    <row r="188" spans="1:21" x14ac:dyDescent="0.55000000000000004">
      <c r="A188" s="5"/>
      <c r="B188" s="5"/>
      <c r="C188" s="5"/>
      <c r="D188" s="5"/>
      <c r="E188" s="5"/>
      <c r="F188" s="5"/>
      <c r="G188" s="5"/>
      <c r="H188" s="5"/>
      <c r="I188" s="5"/>
      <c r="J188" s="5"/>
      <c r="K188" s="5"/>
      <c r="L188" s="5"/>
      <c r="M188" s="5"/>
      <c r="N188" s="5"/>
      <c r="O188" s="5"/>
      <c r="P188" s="5"/>
      <c r="Q188" s="5"/>
      <c r="R188" s="5"/>
      <c r="S188" s="5"/>
      <c r="T188" s="6"/>
      <c r="U188" s="5"/>
    </row>
    <row r="189" spans="1:21" x14ac:dyDescent="0.55000000000000004">
      <c r="A189" s="5"/>
      <c r="B189" s="5"/>
      <c r="C189" s="5"/>
      <c r="D189" s="5"/>
      <c r="E189" s="5"/>
      <c r="F189" s="5"/>
      <c r="G189" s="5"/>
      <c r="H189" s="5"/>
      <c r="I189" s="5"/>
      <c r="J189" s="5"/>
      <c r="K189" s="5"/>
      <c r="L189" s="5"/>
      <c r="M189" s="5"/>
      <c r="N189" s="5"/>
      <c r="O189" s="5"/>
      <c r="P189" s="5"/>
      <c r="Q189" s="5"/>
      <c r="R189" s="5"/>
      <c r="S189" s="5"/>
      <c r="T189" s="6"/>
      <c r="U189" s="5"/>
    </row>
    <row r="190" spans="1:21" x14ac:dyDescent="0.55000000000000004">
      <c r="A190" s="5"/>
      <c r="B190" s="5"/>
      <c r="C190" s="5"/>
      <c r="D190" s="5"/>
      <c r="E190" s="5"/>
      <c r="F190" s="5"/>
      <c r="G190" s="5"/>
      <c r="H190" s="5"/>
      <c r="I190" s="5"/>
      <c r="J190" s="5"/>
      <c r="K190" s="5"/>
      <c r="L190" s="5"/>
      <c r="M190" s="5"/>
      <c r="N190" s="5"/>
      <c r="O190" s="5"/>
      <c r="P190" s="5"/>
      <c r="Q190" s="5"/>
      <c r="R190" s="5"/>
      <c r="S190" s="5"/>
      <c r="T190" s="6"/>
      <c r="U190" s="5"/>
    </row>
    <row r="191" spans="1:21" x14ac:dyDescent="0.55000000000000004">
      <c r="A191" s="5"/>
      <c r="B191" s="5"/>
      <c r="C191" s="5"/>
      <c r="D191" s="5"/>
      <c r="E191" s="5"/>
      <c r="F191" s="5"/>
      <c r="G191" s="5"/>
      <c r="H191" s="5"/>
      <c r="I191" s="5"/>
      <c r="J191" s="5"/>
      <c r="K191" s="5"/>
      <c r="L191" s="5"/>
      <c r="M191" s="5"/>
      <c r="N191" s="5"/>
      <c r="O191" s="5"/>
      <c r="P191" s="5"/>
      <c r="Q191" s="5"/>
      <c r="R191" s="5"/>
      <c r="S191" s="5"/>
      <c r="T191" s="6"/>
      <c r="U191" s="5"/>
    </row>
    <row r="192" spans="1:21" x14ac:dyDescent="0.55000000000000004">
      <c r="A192" s="5"/>
      <c r="B192" s="5"/>
      <c r="C192" s="5"/>
      <c r="D192" s="5"/>
      <c r="E192" s="5"/>
      <c r="F192" s="5"/>
      <c r="G192" s="5"/>
      <c r="H192" s="5"/>
      <c r="I192" s="5"/>
      <c r="J192" s="5"/>
      <c r="K192" s="5"/>
      <c r="L192" s="5"/>
      <c r="M192" s="5"/>
      <c r="N192" s="5"/>
      <c r="O192" s="5"/>
      <c r="P192" s="5"/>
      <c r="Q192" s="5"/>
      <c r="R192" s="5"/>
      <c r="S192" s="5"/>
      <c r="T192" s="6"/>
      <c r="U192" s="5"/>
    </row>
    <row r="193" spans="1:21" x14ac:dyDescent="0.55000000000000004">
      <c r="A193" s="5"/>
      <c r="B193" s="5"/>
      <c r="C193" s="5"/>
      <c r="D193" s="5"/>
      <c r="E193" s="5"/>
      <c r="F193" s="5"/>
      <c r="G193" s="5"/>
      <c r="H193" s="5"/>
      <c r="I193" s="5"/>
      <c r="J193" s="5"/>
      <c r="K193" s="5"/>
      <c r="L193" s="5"/>
      <c r="M193" s="5"/>
      <c r="N193" s="5"/>
      <c r="O193" s="5"/>
      <c r="P193" s="5"/>
      <c r="Q193" s="5"/>
      <c r="R193" s="5"/>
      <c r="S193" s="5"/>
      <c r="T193" s="6"/>
      <c r="U193" s="5"/>
    </row>
    <row r="194" spans="1:21" x14ac:dyDescent="0.55000000000000004">
      <c r="A194" s="5"/>
      <c r="B194" s="5"/>
      <c r="C194" s="5"/>
      <c r="D194" s="5"/>
      <c r="E194" s="5"/>
      <c r="F194" s="5"/>
      <c r="G194" s="5"/>
      <c r="H194" s="5"/>
      <c r="I194" s="5"/>
      <c r="J194" s="5"/>
      <c r="K194" s="5"/>
      <c r="L194" s="5"/>
      <c r="M194" s="5"/>
      <c r="N194" s="5"/>
      <c r="O194" s="5"/>
      <c r="P194" s="5"/>
      <c r="Q194" s="5"/>
      <c r="R194" s="5"/>
      <c r="S194" s="5"/>
      <c r="T194" s="6"/>
      <c r="U194" s="5"/>
    </row>
    <row r="195" spans="1:21" x14ac:dyDescent="0.55000000000000004">
      <c r="A195" s="5"/>
      <c r="B195" s="5"/>
      <c r="C195" s="5"/>
      <c r="D195" s="5"/>
      <c r="E195" s="5"/>
      <c r="F195" s="5"/>
      <c r="G195" s="5"/>
      <c r="H195" s="5"/>
      <c r="I195" s="5"/>
      <c r="J195" s="5"/>
      <c r="K195" s="5"/>
      <c r="L195" s="5"/>
      <c r="M195" s="5"/>
      <c r="N195" s="5"/>
      <c r="O195" s="5"/>
      <c r="P195" s="5"/>
      <c r="Q195" s="5"/>
      <c r="R195" s="5"/>
      <c r="S195" s="5"/>
      <c r="T195" s="6"/>
      <c r="U195" s="5"/>
    </row>
    <row r="196" spans="1:21" x14ac:dyDescent="0.55000000000000004">
      <c r="A196" s="5"/>
      <c r="B196" s="5"/>
      <c r="C196" s="5"/>
      <c r="D196" s="5"/>
      <c r="E196" s="5"/>
      <c r="F196" s="5"/>
      <c r="G196" s="5"/>
      <c r="H196" s="5"/>
      <c r="I196" s="5"/>
      <c r="J196" s="5"/>
      <c r="K196" s="5"/>
      <c r="L196" s="5"/>
      <c r="M196" s="5"/>
      <c r="N196" s="5"/>
      <c r="O196" s="5"/>
      <c r="P196" s="5"/>
      <c r="Q196" s="5"/>
      <c r="R196" s="5"/>
      <c r="S196" s="5"/>
      <c r="T196" s="6"/>
      <c r="U196" s="5"/>
    </row>
    <row r="197" spans="1:21" x14ac:dyDescent="0.55000000000000004">
      <c r="A197" s="5"/>
      <c r="B197" s="5"/>
      <c r="C197" s="5"/>
      <c r="D197" s="5"/>
      <c r="E197" s="5"/>
      <c r="F197" s="5"/>
      <c r="G197" s="5"/>
      <c r="H197" s="5"/>
      <c r="I197" s="5"/>
      <c r="J197" s="5"/>
      <c r="K197" s="5"/>
      <c r="L197" s="5"/>
      <c r="M197" s="5"/>
      <c r="N197" s="5"/>
      <c r="O197" s="5"/>
      <c r="P197" s="5"/>
      <c r="Q197" s="5"/>
      <c r="R197" s="5"/>
      <c r="S197" s="5"/>
      <c r="T197" s="6"/>
      <c r="U197" s="5"/>
    </row>
    <row r="198" spans="1:21" x14ac:dyDescent="0.55000000000000004">
      <c r="A198" s="5"/>
      <c r="B198" s="5"/>
      <c r="C198" s="5"/>
      <c r="D198" s="5"/>
      <c r="E198" s="5"/>
      <c r="F198" s="5"/>
      <c r="G198" s="5"/>
      <c r="H198" s="5"/>
      <c r="I198" s="5"/>
      <c r="J198" s="5"/>
      <c r="K198" s="5"/>
      <c r="L198" s="5"/>
      <c r="M198" s="5"/>
      <c r="N198" s="5"/>
      <c r="O198" s="5"/>
      <c r="P198" s="5"/>
      <c r="Q198" s="5"/>
      <c r="R198" s="5"/>
      <c r="S198" s="5"/>
      <c r="T198" s="6"/>
      <c r="U198" s="5"/>
    </row>
    <row r="199" spans="1:21" x14ac:dyDescent="0.55000000000000004">
      <c r="A199" s="5"/>
      <c r="B199" s="5"/>
      <c r="C199" s="5"/>
      <c r="D199" s="5"/>
      <c r="E199" s="5"/>
      <c r="F199" s="5"/>
      <c r="G199" s="5"/>
      <c r="H199" s="5"/>
      <c r="I199" s="5"/>
      <c r="J199" s="5"/>
      <c r="K199" s="5"/>
      <c r="L199" s="5"/>
      <c r="M199" s="5"/>
      <c r="N199" s="5"/>
      <c r="O199" s="5"/>
      <c r="P199" s="5"/>
      <c r="Q199" s="5"/>
      <c r="R199" s="5"/>
      <c r="S199" s="5"/>
      <c r="T199" s="6"/>
      <c r="U199" s="5"/>
    </row>
    <row r="200" spans="1:21" x14ac:dyDescent="0.55000000000000004">
      <c r="A200" s="5"/>
      <c r="B200" s="5"/>
      <c r="C200" s="5"/>
      <c r="D200" s="5"/>
      <c r="E200" s="5"/>
      <c r="F200" s="5"/>
      <c r="G200" s="5"/>
      <c r="H200" s="5"/>
      <c r="I200" s="5"/>
      <c r="J200" s="5"/>
      <c r="K200" s="5"/>
      <c r="L200" s="5"/>
      <c r="M200" s="5"/>
      <c r="N200" s="5"/>
      <c r="O200" s="5"/>
      <c r="P200" s="5"/>
      <c r="Q200" s="5"/>
      <c r="R200" s="5"/>
      <c r="S200" s="5"/>
      <c r="T200" s="6"/>
      <c r="U200" s="5"/>
    </row>
    <row r="201" spans="1:21" x14ac:dyDescent="0.55000000000000004">
      <c r="A201" s="5"/>
      <c r="B201" s="5"/>
      <c r="C201" s="5"/>
      <c r="D201" s="5"/>
      <c r="E201" s="5"/>
      <c r="F201" s="5"/>
      <c r="G201" s="5"/>
      <c r="H201" s="5"/>
      <c r="I201" s="5"/>
      <c r="J201" s="5"/>
      <c r="K201" s="5"/>
      <c r="L201" s="5"/>
      <c r="M201" s="5"/>
      <c r="N201" s="5"/>
      <c r="O201" s="5"/>
      <c r="P201" s="5"/>
      <c r="Q201" s="5"/>
      <c r="R201" s="5"/>
      <c r="S201" s="5"/>
      <c r="T201" s="6"/>
      <c r="U201" s="5"/>
    </row>
    <row r="202" spans="1:21" x14ac:dyDescent="0.55000000000000004">
      <c r="A202" s="5"/>
      <c r="B202" s="5"/>
      <c r="C202" s="5"/>
      <c r="D202" s="5"/>
      <c r="E202" s="5"/>
      <c r="F202" s="5"/>
      <c r="G202" s="5"/>
      <c r="H202" s="5"/>
      <c r="I202" s="5"/>
      <c r="J202" s="5"/>
      <c r="K202" s="5"/>
      <c r="L202" s="5"/>
      <c r="M202" s="5"/>
      <c r="N202" s="5"/>
      <c r="O202" s="5"/>
      <c r="P202" s="5"/>
      <c r="Q202" s="5"/>
      <c r="R202" s="5"/>
      <c r="S202" s="5"/>
      <c r="T202" s="6"/>
      <c r="U202" s="5"/>
    </row>
    <row r="203" spans="1:21" x14ac:dyDescent="0.55000000000000004">
      <c r="A203" s="5"/>
      <c r="B203" s="5"/>
      <c r="C203" s="5"/>
      <c r="D203" s="5"/>
      <c r="E203" s="5"/>
      <c r="F203" s="5"/>
      <c r="G203" s="5"/>
      <c r="H203" s="5"/>
      <c r="I203" s="5"/>
      <c r="J203" s="5"/>
      <c r="K203" s="5"/>
      <c r="L203" s="5"/>
      <c r="M203" s="5"/>
      <c r="N203" s="5"/>
      <c r="O203" s="5"/>
      <c r="P203" s="5"/>
      <c r="Q203" s="5"/>
      <c r="R203" s="5"/>
      <c r="S203" s="5"/>
      <c r="T203" s="6"/>
      <c r="U203" s="5"/>
    </row>
    <row r="204" spans="1:21" x14ac:dyDescent="0.55000000000000004">
      <c r="A204" s="5"/>
      <c r="B204" s="5"/>
      <c r="C204" s="5"/>
      <c r="D204" s="5"/>
      <c r="E204" s="5"/>
      <c r="F204" s="5"/>
      <c r="G204" s="5"/>
      <c r="H204" s="5"/>
      <c r="I204" s="5"/>
      <c r="J204" s="5"/>
      <c r="K204" s="5"/>
      <c r="L204" s="5"/>
      <c r="M204" s="5"/>
      <c r="N204" s="5"/>
      <c r="O204" s="5"/>
      <c r="P204" s="5"/>
      <c r="Q204" s="5"/>
      <c r="R204" s="5"/>
      <c r="S204" s="5"/>
      <c r="T204" s="6"/>
      <c r="U204" s="5"/>
    </row>
    <row r="205" spans="1:21" x14ac:dyDescent="0.55000000000000004">
      <c r="A205" s="5"/>
      <c r="B205" s="5"/>
      <c r="C205" s="5"/>
      <c r="D205" s="5"/>
      <c r="E205" s="5"/>
      <c r="F205" s="5"/>
      <c r="G205" s="5"/>
      <c r="H205" s="5"/>
      <c r="I205" s="5"/>
      <c r="J205" s="5"/>
      <c r="K205" s="5"/>
      <c r="L205" s="5"/>
      <c r="M205" s="5"/>
      <c r="N205" s="5"/>
      <c r="O205" s="5"/>
      <c r="P205" s="5"/>
      <c r="Q205" s="5"/>
      <c r="R205" s="5"/>
      <c r="S205" s="5"/>
      <c r="T205" s="6"/>
      <c r="U205" s="5"/>
    </row>
    <row r="206" spans="1:21" x14ac:dyDescent="0.55000000000000004">
      <c r="A206" s="5"/>
      <c r="B206" s="5"/>
      <c r="C206" s="5"/>
      <c r="D206" s="5"/>
      <c r="E206" s="5"/>
      <c r="F206" s="5"/>
      <c r="G206" s="5"/>
      <c r="H206" s="5"/>
      <c r="I206" s="5"/>
      <c r="J206" s="5"/>
      <c r="K206" s="5"/>
      <c r="L206" s="5"/>
      <c r="M206" s="5"/>
      <c r="N206" s="5"/>
      <c r="O206" s="5"/>
      <c r="P206" s="5"/>
      <c r="Q206" s="5"/>
      <c r="R206" s="5"/>
      <c r="S206" s="5"/>
      <c r="T206" s="6"/>
      <c r="U206" s="5"/>
    </row>
    <row r="207" spans="1:21" x14ac:dyDescent="0.55000000000000004">
      <c r="A207" s="5"/>
      <c r="B207" s="5"/>
      <c r="C207" s="5"/>
      <c r="D207" s="5"/>
      <c r="E207" s="5"/>
      <c r="F207" s="5"/>
      <c r="G207" s="5"/>
      <c r="H207" s="5"/>
      <c r="I207" s="5"/>
      <c r="J207" s="5"/>
      <c r="K207" s="5"/>
      <c r="L207" s="5"/>
      <c r="M207" s="5"/>
      <c r="N207" s="5"/>
      <c r="O207" s="5"/>
      <c r="P207" s="5"/>
      <c r="Q207" s="5"/>
      <c r="R207" s="5"/>
      <c r="S207" s="5"/>
      <c r="T207" s="6"/>
      <c r="U207" s="5"/>
    </row>
    <row r="208" spans="1:21" x14ac:dyDescent="0.55000000000000004">
      <c r="A208" s="5"/>
      <c r="B208" s="5"/>
      <c r="C208" s="5"/>
      <c r="D208" s="5"/>
      <c r="E208" s="5"/>
      <c r="F208" s="5"/>
      <c r="G208" s="5"/>
      <c r="H208" s="5"/>
      <c r="I208" s="5"/>
      <c r="J208" s="5"/>
      <c r="K208" s="5"/>
      <c r="L208" s="5"/>
      <c r="M208" s="5"/>
      <c r="N208" s="5"/>
      <c r="O208" s="5"/>
      <c r="P208" s="5"/>
      <c r="Q208" s="5"/>
      <c r="R208" s="5"/>
      <c r="S208" s="5"/>
      <c r="T208" s="6"/>
      <c r="U208" s="5"/>
    </row>
    <row r="209" spans="1:21" x14ac:dyDescent="0.55000000000000004">
      <c r="A209" s="5"/>
      <c r="B209" s="5"/>
      <c r="C209" s="5"/>
      <c r="D209" s="5"/>
      <c r="E209" s="5"/>
      <c r="F209" s="5"/>
      <c r="G209" s="5"/>
      <c r="H209" s="5"/>
      <c r="I209" s="5"/>
      <c r="J209" s="5"/>
      <c r="K209" s="5"/>
      <c r="L209" s="5"/>
      <c r="M209" s="5"/>
      <c r="N209" s="5"/>
      <c r="O209" s="5"/>
      <c r="P209" s="5"/>
      <c r="Q209" s="5"/>
      <c r="R209" s="5"/>
      <c r="S209" s="5"/>
      <c r="T209" s="6"/>
      <c r="U209" s="5"/>
    </row>
    <row r="210" spans="1:21" x14ac:dyDescent="0.55000000000000004">
      <c r="A210" s="5"/>
      <c r="B210" s="5"/>
      <c r="C210" s="5"/>
      <c r="D210" s="5"/>
      <c r="E210" s="5"/>
      <c r="F210" s="5"/>
      <c r="G210" s="5"/>
      <c r="H210" s="5"/>
      <c r="I210" s="5"/>
      <c r="J210" s="5"/>
      <c r="K210" s="5"/>
      <c r="L210" s="5"/>
      <c r="M210" s="5"/>
      <c r="N210" s="5"/>
      <c r="O210" s="5"/>
      <c r="P210" s="5"/>
      <c r="Q210" s="5"/>
      <c r="R210" s="5"/>
      <c r="S210" s="5"/>
      <c r="T210" s="6"/>
      <c r="U210" s="5"/>
    </row>
    <row r="211" spans="1:21" x14ac:dyDescent="0.55000000000000004">
      <c r="A211" s="5"/>
      <c r="B211" s="5"/>
      <c r="C211" s="5"/>
      <c r="D211" s="5"/>
      <c r="E211" s="5"/>
      <c r="F211" s="5"/>
      <c r="G211" s="5"/>
      <c r="H211" s="5"/>
      <c r="I211" s="5"/>
      <c r="J211" s="5"/>
      <c r="K211" s="5"/>
      <c r="L211" s="5"/>
      <c r="M211" s="5"/>
      <c r="N211" s="5"/>
      <c r="O211" s="5"/>
      <c r="P211" s="5"/>
      <c r="Q211" s="5"/>
      <c r="R211" s="5"/>
      <c r="S211" s="5"/>
      <c r="T211" s="6"/>
      <c r="U211" s="5"/>
    </row>
    <row r="212" spans="1:21" x14ac:dyDescent="0.55000000000000004">
      <c r="A212" s="5"/>
      <c r="B212" s="5"/>
      <c r="C212" s="5"/>
      <c r="D212" s="5"/>
      <c r="E212" s="5"/>
      <c r="F212" s="5"/>
      <c r="G212" s="5"/>
      <c r="H212" s="5"/>
      <c r="I212" s="5"/>
      <c r="J212" s="5"/>
      <c r="K212" s="5"/>
      <c r="L212" s="5"/>
      <c r="M212" s="5"/>
      <c r="N212" s="5"/>
      <c r="O212" s="5"/>
      <c r="P212" s="5"/>
      <c r="Q212" s="5"/>
      <c r="R212" s="5"/>
      <c r="S212" s="5"/>
      <c r="T212" s="6"/>
      <c r="U212" s="5"/>
    </row>
    <row r="213" spans="1:21" x14ac:dyDescent="0.55000000000000004">
      <c r="A213" s="5"/>
      <c r="B213" s="5"/>
      <c r="C213" s="5"/>
      <c r="D213" s="5"/>
      <c r="E213" s="5"/>
      <c r="F213" s="5"/>
      <c r="G213" s="5"/>
      <c r="H213" s="5"/>
      <c r="I213" s="5"/>
      <c r="J213" s="5"/>
      <c r="K213" s="5"/>
      <c r="L213" s="5"/>
      <c r="M213" s="5"/>
      <c r="N213" s="5"/>
      <c r="O213" s="5"/>
      <c r="P213" s="5"/>
      <c r="Q213" s="5"/>
      <c r="R213" s="5"/>
      <c r="S213" s="5"/>
      <c r="T213" s="6"/>
      <c r="U213" s="5"/>
    </row>
    <row r="214" spans="1:21" x14ac:dyDescent="0.55000000000000004">
      <c r="A214" s="5"/>
      <c r="B214" s="5"/>
      <c r="C214" s="5"/>
      <c r="D214" s="5"/>
      <c r="E214" s="5"/>
      <c r="F214" s="5"/>
      <c r="G214" s="5"/>
      <c r="H214" s="5"/>
      <c r="I214" s="5"/>
      <c r="J214" s="5"/>
      <c r="K214" s="5"/>
      <c r="L214" s="5"/>
      <c r="M214" s="5"/>
      <c r="N214" s="5"/>
      <c r="O214" s="5"/>
      <c r="P214" s="5"/>
      <c r="Q214" s="5"/>
      <c r="R214" s="5"/>
      <c r="S214" s="5"/>
      <c r="T214" s="6"/>
      <c r="U214" s="5"/>
    </row>
    <row r="215" spans="1:21" x14ac:dyDescent="0.55000000000000004">
      <c r="A215" s="5"/>
      <c r="B215" s="5"/>
      <c r="C215" s="5"/>
      <c r="D215" s="5"/>
      <c r="E215" s="5"/>
      <c r="F215" s="5"/>
      <c r="G215" s="5"/>
      <c r="H215" s="5"/>
      <c r="I215" s="5"/>
      <c r="J215" s="5"/>
      <c r="K215" s="5"/>
      <c r="L215" s="5"/>
      <c r="M215" s="5"/>
      <c r="N215" s="5"/>
      <c r="O215" s="5"/>
      <c r="P215" s="5"/>
      <c r="Q215" s="5"/>
      <c r="R215" s="5"/>
      <c r="S215" s="5"/>
      <c r="T215" s="6"/>
      <c r="U215" s="5"/>
    </row>
    <row r="216" spans="1:21" x14ac:dyDescent="0.55000000000000004">
      <c r="A216" s="5"/>
      <c r="B216" s="5"/>
      <c r="C216" s="5"/>
      <c r="D216" s="5"/>
      <c r="E216" s="5"/>
      <c r="F216" s="5"/>
      <c r="G216" s="5"/>
      <c r="H216" s="5"/>
      <c r="I216" s="5"/>
      <c r="J216" s="5"/>
      <c r="K216" s="5"/>
      <c r="L216" s="5"/>
      <c r="M216" s="5"/>
      <c r="N216" s="5"/>
      <c r="O216" s="5"/>
      <c r="P216" s="5"/>
      <c r="Q216" s="5"/>
      <c r="R216" s="5"/>
      <c r="S216" s="5"/>
      <c r="T216" s="6"/>
      <c r="U216" s="5"/>
    </row>
    <row r="217" spans="1:21" x14ac:dyDescent="0.55000000000000004">
      <c r="A217" s="5"/>
      <c r="B217" s="5"/>
      <c r="C217" s="5"/>
      <c r="D217" s="5"/>
      <c r="E217" s="5"/>
      <c r="F217" s="5"/>
      <c r="G217" s="5"/>
      <c r="H217" s="5"/>
      <c r="I217" s="5"/>
      <c r="J217" s="5"/>
      <c r="K217" s="5"/>
      <c r="L217" s="5"/>
      <c r="M217" s="5"/>
      <c r="N217" s="5"/>
      <c r="O217" s="5"/>
      <c r="P217" s="5"/>
      <c r="Q217" s="5"/>
      <c r="R217" s="5"/>
      <c r="S217" s="5"/>
      <c r="T217" s="6"/>
      <c r="U217" s="5"/>
    </row>
    <row r="218" spans="1:21" x14ac:dyDescent="0.55000000000000004">
      <c r="A218" s="5"/>
      <c r="B218" s="5"/>
      <c r="C218" s="5"/>
      <c r="D218" s="5"/>
      <c r="E218" s="5"/>
      <c r="F218" s="5"/>
      <c r="G218" s="5"/>
      <c r="H218" s="5"/>
      <c r="I218" s="5"/>
      <c r="J218" s="5"/>
      <c r="K218" s="5"/>
      <c r="L218" s="5"/>
      <c r="M218" s="5"/>
      <c r="N218" s="5"/>
      <c r="O218" s="5"/>
      <c r="P218" s="5"/>
      <c r="Q218" s="5"/>
      <c r="R218" s="5"/>
      <c r="S218" s="5"/>
      <c r="T218" s="6"/>
      <c r="U218" s="5"/>
    </row>
    <row r="219" spans="1:21" x14ac:dyDescent="0.55000000000000004">
      <c r="A219" s="5"/>
      <c r="B219" s="5"/>
      <c r="C219" s="5"/>
      <c r="D219" s="5"/>
      <c r="E219" s="5"/>
      <c r="F219" s="5"/>
      <c r="G219" s="5"/>
      <c r="H219" s="5"/>
      <c r="I219" s="5"/>
      <c r="J219" s="5"/>
      <c r="K219" s="5"/>
      <c r="L219" s="5"/>
      <c r="M219" s="5"/>
      <c r="N219" s="5"/>
      <c r="O219" s="5"/>
      <c r="P219" s="5"/>
      <c r="Q219" s="5"/>
      <c r="R219" s="5"/>
      <c r="S219" s="5"/>
      <c r="T219" s="6"/>
      <c r="U219" s="5"/>
    </row>
    <row r="220" spans="1:21" x14ac:dyDescent="0.55000000000000004">
      <c r="A220" s="5"/>
      <c r="B220" s="5"/>
      <c r="C220" s="5"/>
      <c r="D220" s="5"/>
      <c r="E220" s="5"/>
      <c r="F220" s="5"/>
      <c r="G220" s="5"/>
      <c r="H220" s="5"/>
      <c r="I220" s="5"/>
      <c r="J220" s="5"/>
      <c r="K220" s="5"/>
      <c r="L220" s="5"/>
      <c r="M220" s="5"/>
      <c r="N220" s="5"/>
      <c r="O220" s="5"/>
      <c r="P220" s="5"/>
      <c r="Q220" s="5"/>
      <c r="R220" s="5"/>
      <c r="S220" s="5"/>
      <c r="T220" s="6"/>
      <c r="U220" s="5"/>
    </row>
    <row r="221" spans="1:21" x14ac:dyDescent="0.55000000000000004">
      <c r="A221" s="5"/>
      <c r="B221" s="5"/>
      <c r="C221" s="5"/>
      <c r="D221" s="5"/>
      <c r="E221" s="5"/>
      <c r="F221" s="5"/>
      <c r="G221" s="5"/>
      <c r="H221" s="5"/>
      <c r="I221" s="5"/>
      <c r="J221" s="5"/>
      <c r="K221" s="5"/>
      <c r="L221" s="5"/>
      <c r="M221" s="5"/>
      <c r="N221" s="5"/>
      <c r="O221" s="5"/>
      <c r="P221" s="5"/>
      <c r="Q221" s="5"/>
      <c r="R221" s="5"/>
      <c r="S221" s="5"/>
      <c r="T221" s="6"/>
      <c r="U221" s="5"/>
    </row>
    <row r="222" spans="1:21" x14ac:dyDescent="0.55000000000000004">
      <c r="A222" s="5"/>
      <c r="B222" s="5"/>
      <c r="C222" s="5"/>
      <c r="D222" s="5"/>
      <c r="E222" s="5"/>
      <c r="F222" s="5"/>
      <c r="G222" s="5"/>
      <c r="H222" s="5"/>
      <c r="I222" s="5"/>
      <c r="J222" s="5"/>
      <c r="K222" s="5"/>
      <c r="L222" s="5"/>
      <c r="M222" s="5"/>
      <c r="N222" s="5"/>
      <c r="O222" s="5"/>
      <c r="P222" s="5"/>
      <c r="Q222" s="5"/>
      <c r="R222" s="5"/>
      <c r="S222" s="5"/>
      <c r="T222" s="6"/>
      <c r="U222" s="5"/>
    </row>
    <row r="223" spans="1:21" x14ac:dyDescent="0.55000000000000004">
      <c r="A223" s="5"/>
      <c r="B223" s="5"/>
      <c r="C223" s="5"/>
      <c r="D223" s="5"/>
      <c r="E223" s="5"/>
      <c r="F223" s="5"/>
      <c r="G223" s="5"/>
      <c r="H223" s="5"/>
      <c r="I223" s="5"/>
      <c r="J223" s="5"/>
      <c r="K223" s="5"/>
      <c r="L223" s="5"/>
      <c r="M223" s="5"/>
      <c r="N223" s="5"/>
      <c r="O223" s="5"/>
      <c r="P223" s="5"/>
      <c r="Q223" s="5"/>
      <c r="R223" s="5"/>
      <c r="S223" s="5"/>
      <c r="T223" s="6"/>
      <c r="U223" s="5"/>
    </row>
    <row r="224" spans="1:21" x14ac:dyDescent="0.55000000000000004">
      <c r="A224" s="5"/>
      <c r="B224" s="5"/>
      <c r="C224" s="5"/>
      <c r="D224" s="5"/>
      <c r="E224" s="5"/>
      <c r="F224" s="5"/>
      <c r="G224" s="5"/>
      <c r="H224" s="5"/>
      <c r="I224" s="5"/>
      <c r="J224" s="5"/>
      <c r="K224" s="5"/>
      <c r="L224" s="5"/>
      <c r="M224" s="5"/>
      <c r="N224" s="5"/>
      <c r="O224" s="5"/>
      <c r="P224" s="5"/>
      <c r="Q224" s="5"/>
      <c r="R224" s="5"/>
      <c r="S224" s="5"/>
      <c r="T224" s="6"/>
      <c r="U224" s="5"/>
    </row>
    <row r="225" spans="1:21" x14ac:dyDescent="0.55000000000000004">
      <c r="A225" s="5"/>
      <c r="B225" s="5"/>
      <c r="C225" s="5"/>
      <c r="D225" s="5"/>
      <c r="E225" s="5"/>
      <c r="F225" s="5"/>
      <c r="G225" s="5"/>
      <c r="H225" s="5"/>
      <c r="I225" s="5"/>
      <c r="J225" s="5"/>
      <c r="K225" s="5"/>
      <c r="L225" s="5"/>
      <c r="M225" s="5"/>
      <c r="N225" s="5"/>
      <c r="O225" s="5"/>
      <c r="P225" s="5"/>
      <c r="Q225" s="5"/>
      <c r="R225" s="5"/>
      <c r="S225" s="5"/>
      <c r="T225" s="6"/>
      <c r="U225" s="5"/>
    </row>
    <row r="226" spans="1:21" x14ac:dyDescent="0.55000000000000004">
      <c r="A226" s="5"/>
      <c r="B226" s="5"/>
      <c r="C226" s="5"/>
      <c r="D226" s="5"/>
      <c r="E226" s="5"/>
      <c r="F226" s="5"/>
      <c r="G226" s="5"/>
      <c r="H226" s="5"/>
      <c r="I226" s="5"/>
      <c r="J226" s="5"/>
      <c r="K226" s="5"/>
      <c r="L226" s="5"/>
      <c r="M226" s="5"/>
      <c r="N226" s="5"/>
      <c r="O226" s="5"/>
      <c r="P226" s="5"/>
      <c r="Q226" s="5"/>
      <c r="R226" s="5"/>
      <c r="S226" s="5"/>
      <c r="T226" s="6"/>
      <c r="U226" s="5"/>
    </row>
    <row r="227" spans="1:21" x14ac:dyDescent="0.55000000000000004">
      <c r="A227" s="5"/>
      <c r="B227" s="5"/>
      <c r="C227" s="5"/>
      <c r="D227" s="5"/>
      <c r="E227" s="5"/>
      <c r="F227" s="5"/>
      <c r="G227" s="5"/>
      <c r="H227" s="5"/>
      <c r="I227" s="5"/>
      <c r="J227" s="5"/>
      <c r="K227" s="5"/>
      <c r="L227" s="5"/>
      <c r="M227" s="5"/>
      <c r="N227" s="5"/>
      <c r="O227" s="5"/>
      <c r="P227" s="5"/>
      <c r="Q227" s="5"/>
      <c r="R227" s="5"/>
      <c r="S227" s="5"/>
      <c r="T227" s="6"/>
      <c r="U227" s="5"/>
    </row>
    <row r="228" spans="1:21" x14ac:dyDescent="0.55000000000000004">
      <c r="A228" s="5"/>
      <c r="B228" s="5"/>
      <c r="C228" s="5"/>
      <c r="D228" s="5"/>
      <c r="E228" s="5"/>
      <c r="F228" s="5"/>
      <c r="G228" s="5"/>
      <c r="H228" s="5"/>
      <c r="I228" s="5"/>
      <c r="J228" s="5"/>
      <c r="K228" s="5"/>
      <c r="L228" s="5"/>
      <c r="M228" s="5"/>
      <c r="N228" s="5"/>
      <c r="O228" s="5"/>
      <c r="P228" s="5"/>
      <c r="Q228" s="5"/>
      <c r="R228" s="5"/>
      <c r="S228" s="5"/>
      <c r="T228" s="6"/>
      <c r="U228" s="5"/>
    </row>
    <row r="229" spans="1:21" x14ac:dyDescent="0.55000000000000004">
      <c r="A229" s="5"/>
      <c r="B229" s="5"/>
      <c r="C229" s="5"/>
      <c r="D229" s="5"/>
      <c r="E229" s="5"/>
      <c r="F229" s="5"/>
      <c r="G229" s="5"/>
      <c r="H229" s="5"/>
      <c r="I229" s="5"/>
      <c r="J229" s="5"/>
      <c r="K229" s="5"/>
      <c r="L229" s="5"/>
      <c r="M229" s="5"/>
      <c r="N229" s="5"/>
      <c r="O229" s="5"/>
      <c r="P229" s="5"/>
      <c r="Q229" s="5"/>
      <c r="R229" s="5"/>
      <c r="S229" s="5"/>
      <c r="T229" s="6"/>
      <c r="U229" s="5"/>
    </row>
    <row r="230" spans="1:21" x14ac:dyDescent="0.55000000000000004">
      <c r="A230" s="5"/>
      <c r="B230" s="5"/>
      <c r="C230" s="5"/>
      <c r="D230" s="5"/>
      <c r="E230" s="5"/>
      <c r="F230" s="5"/>
      <c r="G230" s="5"/>
      <c r="H230" s="5"/>
      <c r="I230" s="5"/>
      <c r="J230" s="5"/>
      <c r="K230" s="5"/>
      <c r="L230" s="5"/>
      <c r="M230" s="5"/>
      <c r="N230" s="5"/>
      <c r="O230" s="5"/>
      <c r="P230" s="5"/>
      <c r="Q230" s="5"/>
      <c r="R230" s="5"/>
      <c r="S230" s="5"/>
      <c r="T230" s="6"/>
      <c r="U230" s="5"/>
    </row>
    <row r="231" spans="1:21" x14ac:dyDescent="0.55000000000000004">
      <c r="A231" s="5"/>
      <c r="B231" s="5"/>
      <c r="C231" s="5"/>
      <c r="D231" s="5"/>
      <c r="E231" s="5"/>
      <c r="F231" s="5"/>
      <c r="G231" s="5"/>
      <c r="H231" s="5"/>
      <c r="I231" s="5"/>
      <c r="J231" s="5"/>
      <c r="K231" s="5"/>
      <c r="L231" s="5"/>
      <c r="M231" s="5"/>
      <c r="N231" s="5"/>
      <c r="O231" s="5"/>
      <c r="P231" s="5"/>
      <c r="Q231" s="5"/>
      <c r="R231" s="5"/>
      <c r="S231" s="5"/>
      <c r="T231" s="6"/>
      <c r="U231" s="5"/>
    </row>
    <row r="232" spans="1:21" x14ac:dyDescent="0.55000000000000004">
      <c r="A232" s="5"/>
      <c r="B232" s="5"/>
      <c r="C232" s="5"/>
      <c r="D232" s="5"/>
      <c r="E232" s="5"/>
      <c r="F232" s="5"/>
      <c r="G232" s="5"/>
      <c r="H232" s="5"/>
      <c r="I232" s="5"/>
      <c r="J232" s="5"/>
      <c r="K232" s="5"/>
      <c r="L232" s="5"/>
      <c r="M232" s="5"/>
      <c r="N232" s="5"/>
      <c r="O232" s="5"/>
      <c r="P232" s="5"/>
      <c r="Q232" s="5"/>
      <c r="R232" s="5"/>
      <c r="S232" s="5"/>
      <c r="T232" s="6"/>
      <c r="U232" s="5"/>
    </row>
    <row r="233" spans="1:21" x14ac:dyDescent="0.55000000000000004">
      <c r="A233" s="5"/>
      <c r="B233" s="5"/>
      <c r="C233" s="5"/>
      <c r="D233" s="5"/>
      <c r="E233" s="5"/>
      <c r="F233" s="5"/>
      <c r="G233" s="5"/>
      <c r="H233" s="5"/>
      <c r="I233" s="5"/>
      <c r="J233" s="5"/>
      <c r="K233" s="5"/>
      <c r="L233" s="5"/>
      <c r="M233" s="5"/>
      <c r="N233" s="5"/>
      <c r="O233" s="5"/>
      <c r="P233" s="5"/>
      <c r="Q233" s="5"/>
      <c r="R233" s="5"/>
      <c r="S233" s="5"/>
      <c r="T233" s="6"/>
      <c r="U233" s="5"/>
    </row>
    <row r="234" spans="1:21" x14ac:dyDescent="0.55000000000000004">
      <c r="A234" s="5"/>
      <c r="B234" s="5"/>
      <c r="C234" s="5"/>
      <c r="D234" s="5"/>
      <c r="E234" s="5"/>
      <c r="F234" s="5"/>
      <c r="G234" s="5"/>
      <c r="H234" s="5"/>
      <c r="I234" s="5"/>
      <c r="J234" s="5"/>
      <c r="K234" s="5"/>
      <c r="L234" s="5"/>
      <c r="M234" s="5"/>
      <c r="N234" s="5"/>
      <c r="O234" s="5"/>
      <c r="P234" s="5"/>
      <c r="Q234" s="5"/>
      <c r="R234" s="5"/>
      <c r="S234" s="5"/>
      <c r="T234" s="6"/>
      <c r="U234" s="5"/>
    </row>
    <row r="235" spans="1:21" x14ac:dyDescent="0.55000000000000004">
      <c r="A235" s="5"/>
      <c r="B235" s="5"/>
      <c r="C235" s="5"/>
      <c r="D235" s="5"/>
      <c r="E235" s="5"/>
      <c r="F235" s="5"/>
      <c r="G235" s="5"/>
      <c r="H235" s="5"/>
      <c r="I235" s="5"/>
      <c r="J235" s="5"/>
      <c r="K235" s="5"/>
      <c r="L235" s="5"/>
      <c r="M235" s="5"/>
      <c r="N235" s="5"/>
      <c r="O235" s="5"/>
      <c r="P235" s="5"/>
      <c r="Q235" s="5"/>
      <c r="R235" s="5"/>
      <c r="S235" s="5"/>
      <c r="T235" s="6"/>
      <c r="U235" s="5"/>
    </row>
    <row r="236" spans="1:21" x14ac:dyDescent="0.55000000000000004">
      <c r="A236" s="5"/>
      <c r="B236" s="5"/>
      <c r="C236" s="5"/>
      <c r="D236" s="5"/>
      <c r="E236" s="5"/>
      <c r="F236" s="5"/>
      <c r="G236" s="5"/>
      <c r="H236" s="5"/>
      <c r="I236" s="5"/>
      <c r="J236" s="5"/>
      <c r="K236" s="5"/>
      <c r="L236" s="5"/>
      <c r="M236" s="5"/>
      <c r="N236" s="5"/>
      <c r="O236" s="5"/>
      <c r="P236" s="5"/>
      <c r="Q236" s="5"/>
      <c r="R236" s="5"/>
      <c r="S236" s="5"/>
      <c r="T236" s="6"/>
      <c r="U236" s="5"/>
    </row>
    <row r="237" spans="1:21" x14ac:dyDescent="0.55000000000000004">
      <c r="A237" s="5"/>
      <c r="B237" s="5"/>
      <c r="C237" s="5"/>
      <c r="D237" s="5"/>
      <c r="E237" s="5"/>
      <c r="F237" s="5"/>
      <c r="G237" s="5"/>
      <c r="H237" s="5"/>
      <c r="I237" s="5"/>
      <c r="J237" s="5"/>
      <c r="K237" s="5"/>
      <c r="L237" s="5"/>
      <c r="M237" s="5"/>
      <c r="N237" s="5"/>
      <c r="O237" s="5"/>
      <c r="P237" s="5"/>
      <c r="Q237" s="5"/>
      <c r="R237" s="5"/>
      <c r="S237" s="5"/>
      <c r="T237" s="6"/>
      <c r="U237" s="5"/>
    </row>
    <row r="238" spans="1:21" x14ac:dyDescent="0.55000000000000004">
      <c r="A238" s="5"/>
      <c r="B238" s="5"/>
      <c r="C238" s="5"/>
      <c r="D238" s="5"/>
      <c r="E238" s="5"/>
      <c r="F238" s="5"/>
      <c r="G238" s="5"/>
      <c r="H238" s="5"/>
      <c r="I238" s="5"/>
      <c r="J238" s="5"/>
      <c r="K238" s="5"/>
      <c r="L238" s="5"/>
      <c r="M238" s="5"/>
      <c r="N238" s="5"/>
      <c r="O238" s="5"/>
      <c r="P238" s="5"/>
      <c r="Q238" s="5"/>
      <c r="R238" s="5"/>
      <c r="S238" s="5"/>
      <c r="T238" s="6"/>
      <c r="U238" s="5"/>
    </row>
    <row r="239" spans="1:21" x14ac:dyDescent="0.55000000000000004">
      <c r="A239" s="5"/>
      <c r="B239" s="5"/>
      <c r="C239" s="5"/>
      <c r="D239" s="5"/>
      <c r="E239" s="5"/>
      <c r="F239" s="5"/>
      <c r="G239" s="5"/>
      <c r="H239" s="5"/>
      <c r="I239" s="5"/>
      <c r="J239" s="5"/>
      <c r="K239" s="5"/>
      <c r="L239" s="5"/>
      <c r="M239" s="5"/>
      <c r="N239" s="5"/>
      <c r="O239" s="5"/>
      <c r="P239" s="5"/>
      <c r="Q239" s="5"/>
      <c r="R239" s="5"/>
      <c r="S239" s="5"/>
      <c r="T239" s="6"/>
      <c r="U239" s="5"/>
    </row>
    <row r="240" spans="1:21" x14ac:dyDescent="0.55000000000000004">
      <c r="A240" s="5"/>
      <c r="B240" s="5"/>
      <c r="C240" s="5"/>
      <c r="D240" s="5"/>
      <c r="E240" s="5"/>
      <c r="F240" s="5"/>
      <c r="G240" s="5"/>
      <c r="H240" s="5"/>
      <c r="I240" s="5"/>
      <c r="J240" s="5"/>
      <c r="K240" s="5"/>
      <c r="L240" s="5"/>
      <c r="M240" s="5"/>
      <c r="N240" s="5"/>
      <c r="O240" s="5"/>
      <c r="P240" s="5"/>
      <c r="Q240" s="5"/>
      <c r="R240" s="5"/>
      <c r="S240" s="5"/>
      <c r="T240" s="6"/>
      <c r="U240" s="5"/>
    </row>
    <row r="241" spans="1:21" x14ac:dyDescent="0.55000000000000004">
      <c r="A241" s="5"/>
      <c r="B241" s="5"/>
      <c r="C241" s="5"/>
      <c r="D241" s="5"/>
      <c r="E241" s="5"/>
      <c r="F241" s="5"/>
      <c r="G241" s="5"/>
      <c r="H241" s="5"/>
      <c r="I241" s="5"/>
      <c r="J241" s="5"/>
      <c r="K241" s="5"/>
      <c r="L241" s="5"/>
      <c r="M241" s="5"/>
      <c r="N241" s="5"/>
      <c r="O241" s="5"/>
      <c r="P241" s="5"/>
      <c r="Q241" s="5"/>
      <c r="R241" s="5"/>
      <c r="S241" s="5"/>
      <c r="T241" s="6"/>
      <c r="U241" s="5"/>
    </row>
    <row r="242" spans="1:21" x14ac:dyDescent="0.55000000000000004">
      <c r="A242" s="5"/>
      <c r="B242" s="5"/>
      <c r="C242" s="5"/>
      <c r="D242" s="5"/>
      <c r="E242" s="5"/>
      <c r="F242" s="5"/>
      <c r="G242" s="5"/>
      <c r="H242" s="5"/>
      <c r="I242" s="5"/>
      <c r="J242" s="5"/>
      <c r="K242" s="5"/>
      <c r="L242" s="5"/>
      <c r="M242" s="5"/>
      <c r="N242" s="5"/>
      <c r="O242" s="5"/>
      <c r="P242" s="5"/>
      <c r="Q242" s="5"/>
      <c r="R242" s="5"/>
      <c r="S242" s="5"/>
      <c r="T242" s="6"/>
      <c r="U242" s="5"/>
    </row>
    <row r="243" spans="1:21" x14ac:dyDescent="0.55000000000000004">
      <c r="A243" s="5"/>
      <c r="B243" s="5"/>
      <c r="C243" s="5"/>
      <c r="D243" s="5"/>
      <c r="E243" s="5"/>
      <c r="F243" s="5"/>
      <c r="G243" s="5"/>
      <c r="H243" s="5"/>
      <c r="I243" s="5"/>
      <c r="J243" s="5"/>
      <c r="K243" s="5"/>
      <c r="L243" s="5"/>
      <c r="M243" s="5"/>
      <c r="N243" s="5"/>
      <c r="O243" s="5"/>
      <c r="P243" s="5"/>
      <c r="Q243" s="5"/>
      <c r="R243" s="5"/>
      <c r="S243" s="5"/>
      <c r="T243" s="6"/>
      <c r="U243" s="5"/>
    </row>
    <row r="244" spans="1:21" x14ac:dyDescent="0.55000000000000004">
      <c r="A244" s="5"/>
      <c r="B244" s="5"/>
      <c r="C244" s="5"/>
      <c r="D244" s="5"/>
      <c r="E244" s="5"/>
      <c r="F244" s="5"/>
      <c r="G244" s="5"/>
      <c r="H244" s="5"/>
      <c r="I244" s="5"/>
      <c r="J244" s="5"/>
      <c r="K244" s="5"/>
      <c r="L244" s="5"/>
      <c r="M244" s="5"/>
      <c r="N244" s="5"/>
      <c r="O244" s="5"/>
      <c r="P244" s="5"/>
      <c r="Q244" s="5"/>
      <c r="R244" s="5"/>
      <c r="S244" s="5"/>
      <c r="T244" s="6"/>
      <c r="U244" s="5"/>
    </row>
    <row r="245" spans="1:21" x14ac:dyDescent="0.55000000000000004">
      <c r="A245" s="5"/>
      <c r="B245" s="5"/>
      <c r="C245" s="5"/>
      <c r="D245" s="5"/>
      <c r="E245" s="5"/>
      <c r="F245" s="5"/>
      <c r="G245" s="5"/>
      <c r="H245" s="5"/>
      <c r="I245" s="5"/>
      <c r="J245" s="5"/>
      <c r="K245" s="5"/>
      <c r="L245" s="5"/>
      <c r="M245" s="5"/>
      <c r="N245" s="5"/>
      <c r="O245" s="5"/>
      <c r="P245" s="5"/>
      <c r="Q245" s="5"/>
      <c r="R245" s="5"/>
      <c r="S245" s="5"/>
      <c r="T245" s="6"/>
      <c r="U245" s="5"/>
    </row>
    <row r="246" spans="1:21" x14ac:dyDescent="0.55000000000000004">
      <c r="A246" s="5"/>
      <c r="B246" s="5"/>
      <c r="C246" s="5"/>
      <c r="D246" s="5"/>
      <c r="E246" s="5"/>
      <c r="F246" s="5"/>
      <c r="G246" s="5"/>
      <c r="H246" s="5"/>
      <c r="I246" s="5"/>
      <c r="J246" s="5"/>
      <c r="K246" s="5"/>
      <c r="L246" s="5"/>
      <c r="M246" s="5"/>
      <c r="N246" s="5"/>
      <c r="O246" s="5"/>
      <c r="P246" s="5"/>
      <c r="Q246" s="5"/>
      <c r="R246" s="5"/>
      <c r="S246" s="5"/>
      <c r="T246" s="6"/>
      <c r="U246" s="5"/>
    </row>
    <row r="247" spans="1:21" x14ac:dyDescent="0.55000000000000004">
      <c r="A247" s="5"/>
      <c r="B247" s="5"/>
      <c r="C247" s="5"/>
      <c r="D247" s="5"/>
      <c r="E247" s="5"/>
      <c r="F247" s="5"/>
      <c r="G247" s="5"/>
      <c r="H247" s="5"/>
      <c r="I247" s="5"/>
      <c r="J247" s="5"/>
      <c r="K247" s="5"/>
      <c r="L247" s="5"/>
      <c r="M247" s="5"/>
      <c r="N247" s="5"/>
      <c r="O247" s="5"/>
      <c r="P247" s="5"/>
      <c r="Q247" s="5"/>
      <c r="R247" s="5"/>
      <c r="S247" s="5"/>
      <c r="T247" s="6"/>
      <c r="U247" s="5"/>
    </row>
    <row r="248" spans="1:21" x14ac:dyDescent="0.55000000000000004">
      <c r="A248" s="5"/>
      <c r="B248" s="5"/>
      <c r="C248" s="5"/>
      <c r="D248" s="5"/>
      <c r="E248" s="5"/>
      <c r="F248" s="5"/>
      <c r="G248" s="5"/>
      <c r="H248" s="5"/>
      <c r="I248" s="5"/>
      <c r="J248" s="5"/>
      <c r="K248" s="5"/>
      <c r="L248" s="5"/>
      <c r="M248" s="5"/>
      <c r="N248" s="5"/>
      <c r="O248" s="5"/>
      <c r="P248" s="5"/>
      <c r="Q248" s="5"/>
      <c r="R248" s="5"/>
      <c r="S248" s="5"/>
      <c r="T248" s="6"/>
      <c r="U248" s="5"/>
    </row>
    <row r="249" spans="1:21" x14ac:dyDescent="0.55000000000000004">
      <c r="A249" s="5"/>
      <c r="B249" s="5"/>
      <c r="C249" s="5"/>
      <c r="D249" s="5"/>
      <c r="E249" s="5"/>
      <c r="F249" s="5"/>
      <c r="G249" s="5"/>
      <c r="H249" s="5"/>
      <c r="I249" s="5"/>
      <c r="J249" s="5"/>
      <c r="K249" s="5"/>
      <c r="L249" s="5"/>
      <c r="M249" s="5"/>
      <c r="N249" s="5"/>
      <c r="O249" s="5"/>
      <c r="P249" s="5"/>
      <c r="Q249" s="5"/>
      <c r="R249" s="5"/>
      <c r="S249" s="5"/>
      <c r="T249" s="6"/>
      <c r="U249" s="5"/>
    </row>
    <row r="250" spans="1:21" x14ac:dyDescent="0.55000000000000004">
      <c r="A250" s="5"/>
      <c r="B250" s="5"/>
      <c r="C250" s="5"/>
      <c r="D250" s="5"/>
      <c r="E250" s="5"/>
      <c r="F250" s="5"/>
      <c r="G250" s="5"/>
      <c r="H250" s="5"/>
      <c r="I250" s="5"/>
      <c r="J250" s="5"/>
      <c r="K250" s="5"/>
      <c r="L250" s="5"/>
      <c r="M250" s="5"/>
      <c r="N250" s="5"/>
      <c r="O250" s="5"/>
      <c r="P250" s="5"/>
      <c r="Q250" s="5"/>
      <c r="R250" s="5"/>
      <c r="S250" s="5"/>
      <c r="T250" s="6"/>
      <c r="U250" s="5"/>
    </row>
  </sheetData>
  <conditionalFormatting sqref="H2:H250">
    <cfRule type="expression" dxfId="2" priority="2">
      <formula>$H2="Out of scope — documented basis"</formula>
    </cfRule>
  </conditionalFormatting>
  <conditionalFormatting sqref="M2:M250">
    <cfRule type="expression" dxfId="1" priority="3">
      <formula>OR($M2="Potential exemption / exception — legal review",$M2="Unknown / pending review")</formula>
    </cfRule>
    <cfRule type="expression" dxfId="0" priority="4">
      <formula>$M2="Exemption / exception applies — documented"</formula>
    </cfRule>
  </conditionalFormatting>
  <pageMargins left="0.7" right="0.7" top="0.75" bottom="0.75" header="0.511811023622047" footer="0.511811023622047"/>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13">
        <x14:dataValidation type="list" errorStyle="warning" allowBlank="1" showErrorMessage="1" errorTitle="Value not in list" error="This value is not in the Lookups list. Keep it only if you have a reason, and consider adding it to Lookups." xr:uid="{00000000-0002-0000-0100-000000000000}">
          <x14:formula1>
            <xm:f>Lookups!$A$2:$A$21</xm:f>
          </x14:formula1>
          <x14:formula2>
            <xm:f>0</xm:f>
          </x14:formula2>
          <xm:sqref>C2:C250</xm:sqref>
        </x14:dataValidation>
        <x14:dataValidation type="list" errorStyle="warning" allowBlank="1" showErrorMessage="1" errorTitle="Value not in list" error="This value is not in the Lookups list. Keep it only if you have a reason, and consider adding it to Lookups." xr:uid="{00000000-0002-0000-0100-000001000000}">
          <x14:formula1>
            <xm:f>Lookups!$B$2:$B$11</xm:f>
          </x14:formula1>
          <x14:formula2>
            <xm:f>0</xm:f>
          </x14:formula2>
          <xm:sqref>D2:D250</xm:sqref>
        </x14:dataValidation>
        <x14:dataValidation type="list" errorStyle="warning" allowBlank="1" showErrorMessage="1" errorTitle="Value not in list" error="This value is not in the Lookups list. Keep it only if you have a reason, and consider adding it to Lookups." xr:uid="{00000000-0002-0000-0100-000002000000}">
          <x14:formula1>
            <xm:f>Lookups!$C$2:$C$17</xm:f>
          </x14:formula1>
          <x14:formula2>
            <xm:f>0</xm:f>
          </x14:formula2>
          <xm:sqref>E2:E250</xm:sqref>
        </x14:dataValidation>
        <x14:dataValidation type="list" errorStyle="warning" allowBlank="1" showErrorMessage="1" errorTitle="Value not in list" error="This value is not in the Lookups list. Keep it only if you have a reason, and consider adding it to Lookups." xr:uid="{00000000-0002-0000-0100-000003000000}">
          <x14:formula1>
            <xm:f>Lookups!$D$2:$D$14</xm:f>
          </x14:formula1>
          <x14:formula2>
            <xm:f>0</xm:f>
          </x14:formula2>
          <xm:sqref>F2:F250</xm:sqref>
        </x14:dataValidation>
        <x14:dataValidation type="list" errorStyle="warning" allowBlank="1" showErrorMessage="1" errorTitle="Value not in list" error="This value is not in the Lookups list. Keep it only if you have a reason, and consider adding it to Lookups." xr:uid="{00000000-0002-0000-0100-000004000000}">
          <x14:formula1>
            <xm:f>Lookups!$E$2:$E$12</xm:f>
          </x14:formula1>
          <x14:formula2>
            <xm:f>0</xm:f>
          </x14:formula2>
          <xm:sqref>G2:G250</xm:sqref>
        </x14:dataValidation>
        <x14:dataValidation type="list" errorStyle="warning" allowBlank="1" showErrorMessage="1" errorTitle="Value not in list" error="This value is not in the Lookups list. Keep it only if you have a reason, and consider adding it to Lookups." xr:uid="{00000000-0002-0000-0100-000005000000}">
          <x14:formula1>
            <xm:f>Lookups!$F$2:$F$5</xm:f>
          </x14:formula1>
          <x14:formula2>
            <xm:f>0</xm:f>
          </x14:formula2>
          <xm:sqref>H2:H250</xm:sqref>
        </x14:dataValidation>
        <x14:dataValidation type="list" errorStyle="warning" allowBlank="1" showErrorMessage="1" errorTitle="Value not in list" error="This value is not in the Lookups list. Keep it only if you have a reason, and consider adding it to Lookups." xr:uid="{00000000-0002-0000-0100-000006000000}">
          <x14:formula1>
            <xm:f>Lookups!$M$2:$M$44</xm:f>
          </x14:formula1>
          <x14:formula2>
            <xm:f>0</xm:f>
          </x14:formula2>
          <xm:sqref>I2:K250</xm:sqref>
        </x14:dataValidation>
        <x14:dataValidation type="list" errorStyle="warning" allowBlank="1" showErrorMessage="1" errorTitle="Value not in list" error="This value is not in the Lookups list. Keep it only if you have a reason, and consider adding it to Lookups." xr:uid="{00000000-0002-0000-0100-000007000000}">
          <x14:formula1>
            <xm:f>Lookups!$G$2:$G$17</xm:f>
          </x14:formula1>
          <x14:formula2>
            <xm:f>0</xm:f>
          </x14:formula2>
          <xm:sqref>L2:L250</xm:sqref>
        </x14:dataValidation>
        <x14:dataValidation type="list" errorStyle="warning" allowBlank="1" showErrorMessage="1" errorTitle="Value not in list" error="This value is not in the Lookups list. Keep it only if you have a reason, and consider adding it to Lookups." xr:uid="{00000000-0002-0000-0100-000008000000}">
          <x14:formula1>
            <xm:f>Lookups!$H$2:$H$13</xm:f>
          </x14:formula1>
          <x14:formula2>
            <xm:f>0</xm:f>
          </x14:formula2>
          <xm:sqref>M2:M250</xm:sqref>
        </x14:dataValidation>
        <x14:dataValidation type="list" errorStyle="warning" allowBlank="1" showErrorMessage="1" errorTitle="Value not in list" error="This value is not in the Lookups list. Keep it only if you have a reason, and consider adding it to Lookups." xr:uid="{00000000-0002-0000-0100-000009000000}">
          <x14:formula1>
            <xm:f>Lookups!$I$2:$I$27</xm:f>
          </x14:formula1>
          <x14:formula2>
            <xm:f>0</xm:f>
          </x14:formula2>
          <xm:sqref>O2:P250</xm:sqref>
        </x14:dataValidation>
        <x14:dataValidation type="list" errorStyle="warning" allowBlank="1" showErrorMessage="1" errorTitle="Value not in list" error="This value is not in the Lookups list. Keep it only if you have a reason, and consider adding it to Lookups." xr:uid="{00000000-0002-0000-0100-00000A000000}">
          <x14:formula1>
            <xm:f>Lookups!$J$2:$J$18</xm:f>
          </x14:formula1>
          <x14:formula2>
            <xm:f>0</xm:f>
          </x14:formula2>
          <xm:sqref>Q2:Q250</xm:sqref>
        </x14:dataValidation>
        <x14:dataValidation type="list" errorStyle="warning" allowBlank="1" showErrorMessage="1" errorTitle="Value not in list" error="This value is not in the Lookups list. Keep it only if you have a reason, and consider adding it to Lookups." xr:uid="{00000000-0002-0000-0100-00000B000000}">
          <x14:formula1>
            <xm:f>Lookups!$K$2:$K$6</xm:f>
          </x14:formula1>
          <x14:formula2>
            <xm:f>0</xm:f>
          </x14:formula2>
          <xm:sqref>R2:R250</xm:sqref>
        </x14:dataValidation>
        <x14:dataValidation type="list" errorStyle="warning" allowBlank="1" showErrorMessage="1" errorTitle="Value not in list" error="This value is not in the Lookups list. Keep it only if you have a reason, and consider adding it to Lookups." xr:uid="{00000000-0002-0000-0100-00000C000000}">
          <x14:formula1>
            <xm:f>Lookups!$L$2:$L$7</xm:f>
          </x14:formula1>
          <x14:formula2>
            <xm:f>0</xm:f>
          </x14:formula2>
          <xm:sqref>S2:S250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4"/>
  <sheetViews>
    <sheetView topLeftCell="A23" zoomScaleNormal="100" workbookViewId="0">
      <selection activeCell="C24" sqref="C24"/>
    </sheetView>
  </sheetViews>
  <sheetFormatPr defaultColWidth="8.68359375" defaultRowHeight="14.4" x14ac:dyDescent="0.55000000000000004"/>
  <cols>
    <col min="1" max="1" width="14" customWidth="1"/>
    <col min="2" max="2" width="22" customWidth="1"/>
    <col min="3" max="3" width="32" customWidth="1"/>
    <col min="4" max="4" width="48" customWidth="1"/>
    <col min="5" max="5" width="26" customWidth="1"/>
    <col min="6" max="7" width="38" customWidth="1"/>
    <col min="8" max="8" width="64" customWidth="1"/>
    <col min="9" max="9" width="58" customWidth="1"/>
    <col min="10" max="10" width="50" customWidth="1"/>
  </cols>
  <sheetData>
    <row r="1" spans="1:10" ht="31.5" customHeight="1" x14ac:dyDescent="0.55000000000000004">
      <c r="A1" s="4" t="s">
        <v>99</v>
      </c>
      <c r="B1" s="4" t="s">
        <v>100</v>
      </c>
      <c r="C1" s="4" t="s">
        <v>101</v>
      </c>
      <c r="D1" s="4" t="s">
        <v>102</v>
      </c>
      <c r="E1" s="4" t="s">
        <v>103</v>
      </c>
      <c r="F1" s="4" t="s">
        <v>104</v>
      </c>
      <c r="G1" s="4" t="s">
        <v>105</v>
      </c>
      <c r="H1" s="4" t="s">
        <v>106</v>
      </c>
      <c r="I1" s="4" t="s">
        <v>107</v>
      </c>
      <c r="J1" s="4" t="s">
        <v>108</v>
      </c>
    </row>
    <row r="2" spans="1:10" ht="57" customHeight="1" x14ac:dyDescent="0.55000000000000004">
      <c r="A2" s="5" t="s">
        <v>109</v>
      </c>
      <c r="B2" s="5" t="s">
        <v>110</v>
      </c>
      <c r="C2" s="5"/>
      <c r="D2" s="5" t="s">
        <v>92</v>
      </c>
      <c r="E2" s="5" t="s">
        <v>111</v>
      </c>
      <c r="F2" s="5" t="s">
        <v>112</v>
      </c>
      <c r="G2" s="5" t="s">
        <v>113</v>
      </c>
      <c r="H2" s="5" t="s">
        <v>114</v>
      </c>
      <c r="I2" s="5" t="s">
        <v>115</v>
      </c>
      <c r="J2" s="5" t="s">
        <v>116</v>
      </c>
    </row>
    <row r="3" spans="1:10" ht="42.75" customHeight="1" x14ac:dyDescent="0.55000000000000004">
      <c r="A3" s="5" t="s">
        <v>109</v>
      </c>
      <c r="B3" s="5" t="s">
        <v>110</v>
      </c>
      <c r="C3" s="5"/>
      <c r="D3" s="5" t="s">
        <v>51</v>
      </c>
      <c r="E3" s="5" t="s">
        <v>111</v>
      </c>
      <c r="F3" s="5" t="s">
        <v>117</v>
      </c>
      <c r="G3" s="5" t="s">
        <v>118</v>
      </c>
      <c r="H3" s="5" t="s">
        <v>119</v>
      </c>
      <c r="I3" s="5" t="s">
        <v>120</v>
      </c>
      <c r="J3" s="5" t="s">
        <v>121</v>
      </c>
    </row>
    <row r="4" spans="1:10" ht="57" customHeight="1" x14ac:dyDescent="0.55000000000000004">
      <c r="A4" s="5" t="s">
        <v>109</v>
      </c>
      <c r="B4" s="5" t="s">
        <v>122</v>
      </c>
      <c r="C4" s="5" t="s">
        <v>123</v>
      </c>
      <c r="D4" s="5" t="s">
        <v>93</v>
      </c>
      <c r="E4" s="5" t="s">
        <v>124</v>
      </c>
      <c r="F4" s="5" t="s">
        <v>125</v>
      </c>
      <c r="G4" s="5" t="s">
        <v>126</v>
      </c>
      <c r="H4" s="5" t="s">
        <v>127</v>
      </c>
      <c r="I4" s="5" t="s">
        <v>128</v>
      </c>
      <c r="J4" s="5" t="s">
        <v>129</v>
      </c>
    </row>
    <row r="5" spans="1:10" ht="28.5" customHeight="1" x14ac:dyDescent="0.55000000000000004">
      <c r="A5" s="5" t="s">
        <v>109</v>
      </c>
      <c r="B5" s="5" t="s">
        <v>130</v>
      </c>
      <c r="C5" s="5" t="s">
        <v>131</v>
      </c>
      <c r="D5" s="5" t="s">
        <v>132</v>
      </c>
      <c r="E5" s="5" t="s">
        <v>133</v>
      </c>
      <c r="F5" s="5" t="s">
        <v>134</v>
      </c>
      <c r="G5" s="5" t="s">
        <v>135</v>
      </c>
      <c r="H5" s="5" t="s">
        <v>136</v>
      </c>
      <c r="I5" s="5" t="s">
        <v>137</v>
      </c>
      <c r="J5" s="5" t="s">
        <v>138</v>
      </c>
    </row>
    <row r="6" spans="1:10" ht="28.5" customHeight="1" x14ac:dyDescent="0.55000000000000004">
      <c r="A6" s="5" t="s">
        <v>109</v>
      </c>
      <c r="B6" s="5" t="s">
        <v>139</v>
      </c>
      <c r="C6" s="5" t="s">
        <v>131</v>
      </c>
      <c r="D6" s="5" t="s">
        <v>140</v>
      </c>
      <c r="E6" s="5" t="s">
        <v>141</v>
      </c>
      <c r="F6" s="5" t="s">
        <v>142</v>
      </c>
      <c r="G6" s="5" t="s">
        <v>143</v>
      </c>
      <c r="H6" s="5" t="s">
        <v>144</v>
      </c>
      <c r="I6" s="5" t="s">
        <v>145</v>
      </c>
      <c r="J6" s="5" t="s">
        <v>146</v>
      </c>
    </row>
    <row r="7" spans="1:10" ht="42.75" customHeight="1" x14ac:dyDescent="0.55000000000000004">
      <c r="A7" s="5" t="s">
        <v>109</v>
      </c>
      <c r="B7" s="5" t="s">
        <v>147</v>
      </c>
      <c r="C7" s="5" t="s">
        <v>131</v>
      </c>
      <c r="D7" s="5" t="s">
        <v>148</v>
      </c>
      <c r="E7" s="5" t="s">
        <v>141</v>
      </c>
      <c r="F7" s="5" t="s">
        <v>149</v>
      </c>
      <c r="G7" s="5" t="s">
        <v>150</v>
      </c>
      <c r="H7" s="5" t="s">
        <v>151</v>
      </c>
      <c r="I7" s="5" t="s">
        <v>152</v>
      </c>
      <c r="J7" s="5" t="s">
        <v>153</v>
      </c>
    </row>
    <row r="8" spans="1:10" ht="28.5" customHeight="1" x14ac:dyDescent="0.55000000000000004">
      <c r="A8" s="5" t="s">
        <v>109</v>
      </c>
      <c r="B8" s="5" t="s">
        <v>154</v>
      </c>
      <c r="C8" s="5" t="s">
        <v>131</v>
      </c>
      <c r="D8" s="5" t="s">
        <v>155</v>
      </c>
      <c r="E8" s="5" t="s">
        <v>156</v>
      </c>
      <c r="F8" s="5" t="s">
        <v>112</v>
      </c>
      <c r="G8" s="5" t="s">
        <v>157</v>
      </c>
      <c r="H8" s="5" t="s">
        <v>158</v>
      </c>
      <c r="I8" s="5" t="s">
        <v>159</v>
      </c>
      <c r="J8" s="5" t="s">
        <v>160</v>
      </c>
    </row>
    <row r="9" spans="1:10" ht="28.5" customHeight="1" x14ac:dyDescent="0.55000000000000004">
      <c r="A9" s="5" t="s">
        <v>109</v>
      </c>
      <c r="B9" s="5" t="s">
        <v>161</v>
      </c>
      <c r="C9" s="5" t="s">
        <v>131</v>
      </c>
      <c r="D9" s="5" t="s">
        <v>162</v>
      </c>
      <c r="E9" s="5" t="s">
        <v>141</v>
      </c>
      <c r="F9" s="5" t="s">
        <v>163</v>
      </c>
      <c r="G9" s="5" t="s">
        <v>150</v>
      </c>
      <c r="H9" s="5" t="s">
        <v>164</v>
      </c>
      <c r="I9" s="5" t="s">
        <v>165</v>
      </c>
      <c r="J9" s="5" t="s">
        <v>166</v>
      </c>
    </row>
    <row r="10" spans="1:10" ht="28.5" customHeight="1" x14ac:dyDescent="0.55000000000000004">
      <c r="A10" s="5" t="s">
        <v>109</v>
      </c>
      <c r="B10" s="5" t="s">
        <v>167</v>
      </c>
      <c r="C10" s="5" t="s">
        <v>131</v>
      </c>
      <c r="D10" s="5" t="s">
        <v>168</v>
      </c>
      <c r="E10" s="5" t="s">
        <v>141</v>
      </c>
      <c r="F10" s="5" t="s">
        <v>169</v>
      </c>
      <c r="G10" s="5" t="s">
        <v>157</v>
      </c>
      <c r="H10" s="5" t="s">
        <v>170</v>
      </c>
      <c r="I10" s="5" t="s">
        <v>171</v>
      </c>
      <c r="J10" s="5" t="s">
        <v>172</v>
      </c>
    </row>
    <row r="11" spans="1:10" ht="28.5" customHeight="1" x14ac:dyDescent="0.55000000000000004">
      <c r="A11" s="5" t="s">
        <v>109</v>
      </c>
      <c r="B11" s="5" t="s">
        <v>173</v>
      </c>
      <c r="C11" s="5" t="s">
        <v>131</v>
      </c>
      <c r="D11" s="5" t="s">
        <v>79</v>
      </c>
      <c r="E11" s="5" t="s">
        <v>141</v>
      </c>
      <c r="F11" s="5" t="s">
        <v>174</v>
      </c>
      <c r="G11" s="5" t="s">
        <v>157</v>
      </c>
      <c r="H11" s="5" t="s">
        <v>175</v>
      </c>
      <c r="I11" s="5" t="s">
        <v>176</v>
      </c>
      <c r="J11" s="5" t="s">
        <v>177</v>
      </c>
    </row>
    <row r="12" spans="1:10" ht="28.5" customHeight="1" x14ac:dyDescent="0.55000000000000004">
      <c r="A12" s="5" t="s">
        <v>109</v>
      </c>
      <c r="B12" s="5" t="s">
        <v>178</v>
      </c>
      <c r="C12" s="5" t="s">
        <v>131</v>
      </c>
      <c r="D12" s="5" t="s">
        <v>179</v>
      </c>
      <c r="E12" s="5" t="s">
        <v>141</v>
      </c>
      <c r="F12" s="5" t="s">
        <v>112</v>
      </c>
      <c r="G12" s="5" t="s">
        <v>157</v>
      </c>
      <c r="H12" s="5" t="s">
        <v>180</v>
      </c>
      <c r="I12" s="5" t="s">
        <v>181</v>
      </c>
      <c r="J12" s="5" t="s">
        <v>182</v>
      </c>
    </row>
    <row r="13" spans="1:10" ht="28.5" customHeight="1" x14ac:dyDescent="0.55000000000000004">
      <c r="A13" s="5" t="s">
        <v>109</v>
      </c>
      <c r="B13" s="5" t="s">
        <v>183</v>
      </c>
      <c r="C13" s="5" t="s">
        <v>131</v>
      </c>
      <c r="D13" s="5" t="s">
        <v>184</v>
      </c>
      <c r="E13" s="5" t="s">
        <v>185</v>
      </c>
      <c r="F13" s="5" t="s">
        <v>174</v>
      </c>
      <c r="G13" s="5" t="s">
        <v>186</v>
      </c>
      <c r="H13" s="5" t="s">
        <v>175</v>
      </c>
      <c r="I13" s="5" t="s">
        <v>187</v>
      </c>
      <c r="J13" s="5" t="s">
        <v>188</v>
      </c>
    </row>
    <row r="14" spans="1:10" ht="28.5" customHeight="1" x14ac:dyDescent="0.55000000000000004">
      <c r="A14" s="5" t="s">
        <v>109</v>
      </c>
      <c r="B14" s="5" t="s">
        <v>189</v>
      </c>
      <c r="C14" s="5" t="s">
        <v>131</v>
      </c>
      <c r="D14" s="5" t="s">
        <v>190</v>
      </c>
      <c r="E14" s="5" t="s">
        <v>141</v>
      </c>
      <c r="F14" s="5" t="s">
        <v>174</v>
      </c>
      <c r="G14" s="5" t="s">
        <v>157</v>
      </c>
      <c r="H14" s="5" t="s">
        <v>175</v>
      </c>
      <c r="I14" s="5" t="s">
        <v>191</v>
      </c>
      <c r="J14" s="5" t="s">
        <v>192</v>
      </c>
    </row>
    <row r="15" spans="1:10" x14ac:dyDescent="0.55000000000000004">
      <c r="A15" s="5" t="s">
        <v>109</v>
      </c>
      <c r="B15" s="5" t="s">
        <v>193</v>
      </c>
      <c r="C15" s="5" t="s">
        <v>131</v>
      </c>
      <c r="D15" s="5" t="s">
        <v>194</v>
      </c>
      <c r="E15" s="5" t="s">
        <v>141</v>
      </c>
      <c r="F15" s="5" t="s">
        <v>112</v>
      </c>
      <c r="G15" s="5" t="s">
        <v>150</v>
      </c>
      <c r="H15" s="5" t="s">
        <v>195</v>
      </c>
      <c r="I15" s="5" t="s">
        <v>196</v>
      </c>
      <c r="J15" s="5" t="s">
        <v>197</v>
      </c>
    </row>
    <row r="16" spans="1:10" ht="57" customHeight="1" x14ac:dyDescent="0.55000000000000004">
      <c r="A16" s="5" t="s">
        <v>109</v>
      </c>
      <c r="B16" s="5" t="s">
        <v>198</v>
      </c>
      <c r="C16" s="5" t="s">
        <v>199</v>
      </c>
      <c r="D16" s="5" t="s">
        <v>200</v>
      </c>
      <c r="E16" s="5" t="s">
        <v>156</v>
      </c>
      <c r="F16" s="5" t="s">
        <v>112</v>
      </c>
      <c r="G16" s="5" t="s">
        <v>201</v>
      </c>
      <c r="H16" s="5" t="s">
        <v>202</v>
      </c>
      <c r="I16" s="5" t="s">
        <v>203</v>
      </c>
      <c r="J16" s="5" t="s">
        <v>204</v>
      </c>
    </row>
    <row r="17" spans="1:10" ht="28.5" customHeight="1" x14ac:dyDescent="0.55000000000000004">
      <c r="A17" s="5" t="s">
        <v>109</v>
      </c>
      <c r="B17" s="5" t="s">
        <v>198</v>
      </c>
      <c r="C17" s="5"/>
      <c r="D17" s="5" t="s">
        <v>205</v>
      </c>
      <c r="E17" s="5" t="s">
        <v>206</v>
      </c>
      <c r="F17" s="5" t="s">
        <v>207</v>
      </c>
      <c r="G17" s="5" t="s">
        <v>208</v>
      </c>
      <c r="H17" s="5" t="s">
        <v>209</v>
      </c>
      <c r="I17" s="5" t="s">
        <v>210</v>
      </c>
      <c r="J17" s="5" t="s">
        <v>211</v>
      </c>
    </row>
    <row r="18" spans="1:10" ht="28.5" customHeight="1" x14ac:dyDescent="0.55000000000000004">
      <c r="A18" s="5" t="s">
        <v>212</v>
      </c>
      <c r="B18" s="5" t="s">
        <v>213</v>
      </c>
      <c r="C18" s="5"/>
      <c r="D18" s="5" t="s">
        <v>214</v>
      </c>
      <c r="E18" s="5" t="s">
        <v>215</v>
      </c>
      <c r="F18" s="5" t="s">
        <v>216</v>
      </c>
      <c r="G18" s="5" t="s">
        <v>217</v>
      </c>
      <c r="H18" s="5" t="s">
        <v>218</v>
      </c>
      <c r="I18" s="5" t="s">
        <v>219</v>
      </c>
      <c r="J18" s="5" t="s">
        <v>220</v>
      </c>
    </row>
    <row r="19" spans="1:10" ht="57" customHeight="1" x14ac:dyDescent="0.55000000000000004">
      <c r="A19" s="5" t="s">
        <v>212</v>
      </c>
      <c r="B19" s="5" t="s">
        <v>213</v>
      </c>
      <c r="C19" s="5" t="s">
        <v>221</v>
      </c>
      <c r="D19" s="5" t="s">
        <v>65</v>
      </c>
      <c r="E19" s="5" t="s">
        <v>222</v>
      </c>
      <c r="F19" s="5" t="s">
        <v>223</v>
      </c>
      <c r="G19" s="5" t="s">
        <v>66</v>
      </c>
      <c r="H19" s="5" t="s">
        <v>224</v>
      </c>
      <c r="I19" s="5" t="s">
        <v>225</v>
      </c>
      <c r="J19" s="5" t="s">
        <v>226</v>
      </c>
    </row>
    <row r="20" spans="1:10" ht="42.75" customHeight="1" x14ac:dyDescent="0.55000000000000004">
      <c r="A20" s="5" t="s">
        <v>212</v>
      </c>
      <c r="B20" s="5" t="s">
        <v>213</v>
      </c>
      <c r="C20" s="5" t="s">
        <v>227</v>
      </c>
      <c r="D20" s="5" t="s">
        <v>228</v>
      </c>
      <c r="E20" s="5" t="s">
        <v>229</v>
      </c>
      <c r="F20" s="5" t="s">
        <v>230</v>
      </c>
      <c r="G20" s="5" t="s">
        <v>231</v>
      </c>
      <c r="H20" s="5" t="s">
        <v>232</v>
      </c>
      <c r="I20" s="5" t="s">
        <v>233</v>
      </c>
      <c r="J20" s="5" t="s">
        <v>234</v>
      </c>
    </row>
    <row r="21" spans="1:10" ht="28.5" customHeight="1" x14ac:dyDescent="0.55000000000000004">
      <c r="A21" s="5" t="s">
        <v>212</v>
      </c>
      <c r="B21" s="5" t="s">
        <v>213</v>
      </c>
      <c r="C21" s="5"/>
      <c r="D21" s="5" t="s">
        <v>235</v>
      </c>
      <c r="E21" s="5" t="s">
        <v>236</v>
      </c>
      <c r="F21" s="5" t="s">
        <v>237</v>
      </c>
      <c r="G21" s="5" t="s">
        <v>238</v>
      </c>
      <c r="H21" s="5" t="s">
        <v>239</v>
      </c>
      <c r="I21" s="5" t="s">
        <v>240</v>
      </c>
      <c r="J21" s="5" t="s">
        <v>241</v>
      </c>
    </row>
    <row r="22" spans="1:10" ht="28.5" customHeight="1" x14ac:dyDescent="0.55000000000000004">
      <c r="A22" s="5" t="s">
        <v>212</v>
      </c>
      <c r="B22" s="5" t="s">
        <v>213</v>
      </c>
      <c r="C22" s="5"/>
      <c r="D22" s="5" t="s">
        <v>242</v>
      </c>
      <c r="E22" s="5" t="s">
        <v>243</v>
      </c>
      <c r="F22" s="5" t="s">
        <v>244</v>
      </c>
      <c r="G22" s="5" t="s">
        <v>245</v>
      </c>
      <c r="H22" s="5" t="s">
        <v>246</v>
      </c>
      <c r="I22" s="5" t="s">
        <v>247</v>
      </c>
      <c r="J22" s="5" t="s">
        <v>248</v>
      </c>
    </row>
    <row r="23" spans="1:10" ht="28.5" customHeight="1" x14ac:dyDescent="0.55000000000000004">
      <c r="A23" s="5" t="s">
        <v>212</v>
      </c>
      <c r="B23" s="5" t="s">
        <v>249</v>
      </c>
      <c r="C23" s="5"/>
      <c r="D23" s="5" t="s">
        <v>250</v>
      </c>
      <c r="E23" s="5" t="s">
        <v>251</v>
      </c>
      <c r="F23" s="5" t="s">
        <v>252</v>
      </c>
      <c r="G23" s="5" t="s">
        <v>253</v>
      </c>
      <c r="H23" s="5" t="s">
        <v>254</v>
      </c>
      <c r="I23" s="5" t="s">
        <v>255</v>
      </c>
      <c r="J23" s="5" t="s">
        <v>256</v>
      </c>
    </row>
    <row r="24" spans="1:10" ht="57" customHeight="1" x14ac:dyDescent="0.55000000000000004">
      <c r="A24" s="5" t="s">
        <v>212</v>
      </c>
      <c r="B24" s="5" t="s">
        <v>249</v>
      </c>
      <c r="C24" s="5" t="s">
        <v>257</v>
      </c>
      <c r="D24" s="5" t="s">
        <v>258</v>
      </c>
      <c r="E24" s="5" t="s">
        <v>259</v>
      </c>
      <c r="F24" s="5" t="s">
        <v>260</v>
      </c>
      <c r="G24" s="5" t="s">
        <v>261</v>
      </c>
      <c r="H24" s="5" t="s">
        <v>262</v>
      </c>
      <c r="I24" s="5" t="s">
        <v>263</v>
      </c>
      <c r="J24" s="5" t="s">
        <v>264</v>
      </c>
    </row>
    <row r="25" spans="1:10" ht="42.75" customHeight="1" x14ac:dyDescent="0.55000000000000004">
      <c r="A25" s="5" t="s">
        <v>212</v>
      </c>
      <c r="B25" s="5" t="s">
        <v>265</v>
      </c>
      <c r="C25" s="5" t="s">
        <v>266</v>
      </c>
      <c r="D25" s="5" t="s">
        <v>267</v>
      </c>
      <c r="E25" s="5" t="s">
        <v>268</v>
      </c>
      <c r="F25" s="5" t="s">
        <v>269</v>
      </c>
      <c r="G25" s="5" t="s">
        <v>270</v>
      </c>
      <c r="H25" s="5" t="s">
        <v>271</v>
      </c>
      <c r="I25" s="5" t="s">
        <v>272</v>
      </c>
      <c r="J25" s="5" t="s">
        <v>273</v>
      </c>
    </row>
    <row r="26" spans="1:10" ht="28.5" customHeight="1" x14ac:dyDescent="0.55000000000000004">
      <c r="A26" s="5" t="s">
        <v>274</v>
      </c>
      <c r="B26" s="5" t="s">
        <v>275</v>
      </c>
      <c r="C26" s="5"/>
      <c r="D26" s="5" t="s">
        <v>276</v>
      </c>
      <c r="E26" s="5" t="s">
        <v>215</v>
      </c>
      <c r="F26" s="5" t="s">
        <v>277</v>
      </c>
      <c r="G26" s="5" t="s">
        <v>278</v>
      </c>
      <c r="H26" s="5" t="s">
        <v>279</v>
      </c>
      <c r="I26" s="5" t="s">
        <v>280</v>
      </c>
      <c r="J26" s="5" t="s">
        <v>281</v>
      </c>
    </row>
    <row r="27" spans="1:10" ht="28.5" customHeight="1" x14ac:dyDescent="0.55000000000000004">
      <c r="A27" s="5" t="s">
        <v>274</v>
      </c>
      <c r="B27" s="5" t="s">
        <v>275</v>
      </c>
      <c r="C27" s="5" t="s">
        <v>282</v>
      </c>
      <c r="D27" s="5" t="s">
        <v>283</v>
      </c>
      <c r="E27" s="5" t="s">
        <v>284</v>
      </c>
      <c r="F27" s="5" t="s">
        <v>285</v>
      </c>
      <c r="G27" s="5" t="s">
        <v>286</v>
      </c>
      <c r="H27" s="5" t="s">
        <v>287</v>
      </c>
      <c r="I27" s="5" t="s">
        <v>288</v>
      </c>
      <c r="J27" s="5" t="s">
        <v>289</v>
      </c>
    </row>
    <row r="28" spans="1:10" ht="28.5" customHeight="1" x14ac:dyDescent="0.55000000000000004">
      <c r="A28" s="5" t="s">
        <v>274</v>
      </c>
      <c r="B28" s="5" t="s">
        <v>275</v>
      </c>
      <c r="C28" s="5" t="s">
        <v>290</v>
      </c>
      <c r="D28" s="5" t="s">
        <v>291</v>
      </c>
      <c r="E28" s="5" t="s">
        <v>292</v>
      </c>
      <c r="F28" s="5" t="s">
        <v>293</v>
      </c>
      <c r="G28" s="5" t="s">
        <v>294</v>
      </c>
      <c r="H28" s="5" t="s">
        <v>295</v>
      </c>
      <c r="I28" s="5" t="s">
        <v>296</v>
      </c>
      <c r="J28" s="5" t="s">
        <v>297</v>
      </c>
    </row>
    <row r="29" spans="1:10" ht="28.5" customHeight="1" x14ac:dyDescent="0.55000000000000004">
      <c r="A29" s="5" t="s">
        <v>274</v>
      </c>
      <c r="B29" s="5" t="s">
        <v>298</v>
      </c>
      <c r="C29" s="5"/>
      <c r="D29" s="5" t="s">
        <v>299</v>
      </c>
      <c r="E29" s="5" t="s">
        <v>206</v>
      </c>
      <c r="F29" s="5" t="s">
        <v>300</v>
      </c>
      <c r="G29" s="5" t="s">
        <v>301</v>
      </c>
      <c r="H29" s="5" t="s">
        <v>302</v>
      </c>
      <c r="I29" s="5" t="s">
        <v>303</v>
      </c>
      <c r="J29" s="5" t="s">
        <v>304</v>
      </c>
    </row>
    <row r="30" spans="1:10" ht="28.5" customHeight="1" x14ac:dyDescent="0.55000000000000004">
      <c r="A30" s="5" t="s">
        <v>274</v>
      </c>
      <c r="B30" s="5" t="s">
        <v>298</v>
      </c>
      <c r="C30" s="5" t="s">
        <v>305</v>
      </c>
      <c r="D30" s="5" t="s">
        <v>306</v>
      </c>
      <c r="E30" s="5" t="s">
        <v>307</v>
      </c>
      <c r="F30" s="5" t="s">
        <v>308</v>
      </c>
      <c r="G30" s="5" t="s">
        <v>309</v>
      </c>
      <c r="H30" s="5" t="s">
        <v>310</v>
      </c>
      <c r="I30" s="5" t="s">
        <v>311</v>
      </c>
      <c r="J30" s="5" t="s">
        <v>312</v>
      </c>
    </row>
    <row r="31" spans="1:10" ht="28.5" customHeight="1" x14ac:dyDescent="0.55000000000000004">
      <c r="A31" s="5" t="s">
        <v>313</v>
      </c>
      <c r="B31" s="5" t="s">
        <v>314</v>
      </c>
      <c r="C31" s="5"/>
      <c r="D31" s="5" t="s">
        <v>315</v>
      </c>
      <c r="E31" s="5" t="s">
        <v>206</v>
      </c>
      <c r="F31" s="5" t="s">
        <v>300</v>
      </c>
      <c r="G31" s="5" t="s">
        <v>316</v>
      </c>
      <c r="H31" s="5" t="s">
        <v>317</v>
      </c>
      <c r="I31" s="5" t="s">
        <v>318</v>
      </c>
      <c r="J31" s="5" t="s">
        <v>319</v>
      </c>
    </row>
    <row r="32" spans="1:10" ht="28.5" customHeight="1" x14ac:dyDescent="0.55000000000000004">
      <c r="A32" s="5" t="s">
        <v>313</v>
      </c>
      <c r="B32" s="5" t="s">
        <v>314</v>
      </c>
      <c r="C32" s="5" t="s">
        <v>320</v>
      </c>
      <c r="D32" s="5" t="s">
        <v>321</v>
      </c>
      <c r="E32" s="5" t="s">
        <v>322</v>
      </c>
      <c r="F32" s="5" t="s">
        <v>323</v>
      </c>
      <c r="G32" s="5" t="s">
        <v>324</v>
      </c>
      <c r="H32" s="5" t="s">
        <v>325</v>
      </c>
      <c r="I32" s="5" t="s">
        <v>326</v>
      </c>
      <c r="J32" s="5" t="s">
        <v>327</v>
      </c>
    </row>
    <row r="33" spans="1:10" ht="28.5" customHeight="1" x14ac:dyDescent="0.55000000000000004">
      <c r="A33" s="5" t="s">
        <v>313</v>
      </c>
      <c r="B33" s="5" t="s">
        <v>328</v>
      </c>
      <c r="C33" s="5"/>
      <c r="D33" s="5" t="s">
        <v>329</v>
      </c>
      <c r="E33" s="5" t="s">
        <v>330</v>
      </c>
      <c r="F33" s="5" t="s">
        <v>331</v>
      </c>
      <c r="G33" s="5" t="s">
        <v>332</v>
      </c>
      <c r="H33" s="5" t="s">
        <v>333</v>
      </c>
      <c r="I33" s="5" t="s">
        <v>334</v>
      </c>
      <c r="J33" s="5" t="s">
        <v>335</v>
      </c>
    </row>
    <row r="34" spans="1:10" ht="28.5" customHeight="1" x14ac:dyDescent="0.55000000000000004">
      <c r="A34" s="5" t="s">
        <v>313</v>
      </c>
      <c r="B34" s="5" t="s">
        <v>328</v>
      </c>
      <c r="C34" s="5" t="s">
        <v>336</v>
      </c>
      <c r="D34" s="5" t="s">
        <v>337</v>
      </c>
      <c r="E34" s="5" t="s">
        <v>338</v>
      </c>
      <c r="F34" s="5" t="s">
        <v>339</v>
      </c>
      <c r="G34" s="5" t="s">
        <v>340</v>
      </c>
      <c r="H34" s="5" t="s">
        <v>341</v>
      </c>
      <c r="I34" s="5" t="s">
        <v>342</v>
      </c>
      <c r="J34" s="5" t="s">
        <v>343</v>
      </c>
    </row>
    <row r="35" spans="1:10" ht="28.5" customHeight="1" x14ac:dyDescent="0.55000000000000004">
      <c r="A35" s="5" t="s">
        <v>313</v>
      </c>
      <c r="B35" s="5" t="s">
        <v>344</v>
      </c>
      <c r="C35" s="5"/>
      <c r="D35" s="5" t="s">
        <v>345</v>
      </c>
      <c r="E35" s="5" t="s">
        <v>346</v>
      </c>
      <c r="F35" s="5" t="s">
        <v>331</v>
      </c>
      <c r="G35" s="5" t="s">
        <v>347</v>
      </c>
      <c r="H35" s="5" t="s">
        <v>348</v>
      </c>
      <c r="I35" s="5" t="s">
        <v>349</v>
      </c>
      <c r="J35" s="5" t="s">
        <v>350</v>
      </c>
    </row>
    <row r="36" spans="1:10" ht="28.5" customHeight="1" x14ac:dyDescent="0.55000000000000004">
      <c r="A36" s="5" t="s">
        <v>313</v>
      </c>
      <c r="B36" s="5" t="s">
        <v>351</v>
      </c>
      <c r="C36" s="5"/>
      <c r="D36" s="5" t="s">
        <v>352</v>
      </c>
      <c r="E36" s="5" t="s">
        <v>353</v>
      </c>
      <c r="F36" s="5" t="s">
        <v>300</v>
      </c>
      <c r="G36" s="5" t="s">
        <v>354</v>
      </c>
      <c r="H36" s="5" t="s">
        <v>355</v>
      </c>
      <c r="I36" s="5" t="s">
        <v>356</v>
      </c>
      <c r="J36" s="5" t="s">
        <v>357</v>
      </c>
    </row>
    <row r="37" spans="1:10" ht="28.5" customHeight="1" x14ac:dyDescent="0.55000000000000004">
      <c r="A37" s="5" t="s">
        <v>313</v>
      </c>
      <c r="B37" s="5" t="s">
        <v>358</v>
      </c>
      <c r="C37" s="5" t="s">
        <v>359</v>
      </c>
      <c r="D37" s="5" t="s">
        <v>360</v>
      </c>
      <c r="E37" s="5" t="s">
        <v>361</v>
      </c>
      <c r="F37" s="5" t="s">
        <v>362</v>
      </c>
      <c r="G37" s="5" t="s">
        <v>363</v>
      </c>
      <c r="H37" s="5" t="s">
        <v>364</v>
      </c>
      <c r="I37" s="5" t="s">
        <v>365</v>
      </c>
      <c r="J37" s="5" t="s">
        <v>366</v>
      </c>
    </row>
    <row r="38" spans="1:10" ht="28.5" customHeight="1" x14ac:dyDescent="0.55000000000000004">
      <c r="A38" s="5" t="s">
        <v>367</v>
      </c>
      <c r="B38" s="5" t="s">
        <v>368</v>
      </c>
      <c r="C38" s="5"/>
      <c r="D38" s="5" t="s">
        <v>369</v>
      </c>
      <c r="E38" s="5" t="s">
        <v>370</v>
      </c>
      <c r="F38" s="5" t="s">
        <v>371</v>
      </c>
      <c r="G38" s="5" t="s">
        <v>372</v>
      </c>
      <c r="H38" s="5" t="s">
        <v>373</v>
      </c>
      <c r="I38" s="5" t="s">
        <v>374</v>
      </c>
      <c r="J38" s="5" t="s">
        <v>375</v>
      </c>
    </row>
    <row r="39" spans="1:10" ht="28.5" customHeight="1" x14ac:dyDescent="0.55000000000000004">
      <c r="A39" s="5" t="s">
        <v>376</v>
      </c>
      <c r="B39" s="5" t="s">
        <v>377</v>
      </c>
      <c r="C39" s="5"/>
      <c r="D39" s="5" t="s">
        <v>378</v>
      </c>
      <c r="E39" s="5" t="s">
        <v>379</v>
      </c>
      <c r="F39" s="5" t="s">
        <v>331</v>
      </c>
      <c r="G39" s="5" t="s">
        <v>380</v>
      </c>
      <c r="H39" s="5" t="s">
        <v>381</v>
      </c>
      <c r="I39" s="5" t="s">
        <v>382</v>
      </c>
      <c r="J39" s="5" t="s">
        <v>383</v>
      </c>
    </row>
    <row r="40" spans="1:10" ht="28.5" customHeight="1" x14ac:dyDescent="0.55000000000000004">
      <c r="A40" s="5" t="s">
        <v>376</v>
      </c>
      <c r="B40" s="5" t="s">
        <v>377</v>
      </c>
      <c r="C40" s="5" t="s">
        <v>384</v>
      </c>
      <c r="D40" s="5" t="s">
        <v>385</v>
      </c>
      <c r="E40" s="5" t="s">
        <v>386</v>
      </c>
      <c r="F40" s="5" t="s">
        <v>387</v>
      </c>
      <c r="G40" s="5" t="s">
        <v>388</v>
      </c>
      <c r="H40" s="5" t="s">
        <v>389</v>
      </c>
      <c r="I40" s="5" t="s">
        <v>390</v>
      </c>
      <c r="J40" s="5" t="s">
        <v>391</v>
      </c>
    </row>
    <row r="41" spans="1:10" ht="28.5" customHeight="1" x14ac:dyDescent="0.55000000000000004">
      <c r="A41" s="5" t="s">
        <v>376</v>
      </c>
      <c r="B41" s="5" t="s">
        <v>392</v>
      </c>
      <c r="C41" s="5"/>
      <c r="D41" s="5" t="s">
        <v>393</v>
      </c>
      <c r="E41" s="5" t="s">
        <v>394</v>
      </c>
      <c r="F41" s="5" t="s">
        <v>395</v>
      </c>
      <c r="G41" s="5" t="s">
        <v>396</v>
      </c>
      <c r="H41" s="5" t="s">
        <v>397</v>
      </c>
      <c r="I41" s="5" t="s">
        <v>398</v>
      </c>
      <c r="J41" s="5" t="s">
        <v>399</v>
      </c>
    </row>
    <row r="42" spans="1:10" ht="28.5" customHeight="1" x14ac:dyDescent="0.55000000000000004">
      <c r="A42" s="5" t="s">
        <v>376</v>
      </c>
      <c r="B42" s="5" t="s">
        <v>400</v>
      </c>
      <c r="C42" s="5"/>
      <c r="D42" s="5" t="s">
        <v>401</v>
      </c>
      <c r="E42" s="5" t="s">
        <v>402</v>
      </c>
      <c r="F42" s="5" t="s">
        <v>403</v>
      </c>
      <c r="G42" s="5" t="s">
        <v>404</v>
      </c>
      <c r="H42" s="5" t="s">
        <v>405</v>
      </c>
      <c r="I42" s="5" t="s">
        <v>406</v>
      </c>
      <c r="J42" s="5" t="s">
        <v>407</v>
      </c>
    </row>
    <row r="43" spans="1:10" ht="28.5" customHeight="1" x14ac:dyDescent="0.55000000000000004">
      <c r="A43" s="5" t="s">
        <v>408</v>
      </c>
      <c r="B43" s="5" t="s">
        <v>409</v>
      </c>
      <c r="C43" s="5" t="s">
        <v>410</v>
      </c>
      <c r="D43" s="5" t="s">
        <v>411</v>
      </c>
      <c r="E43" s="5" t="s">
        <v>412</v>
      </c>
      <c r="F43" s="5" t="s">
        <v>413</v>
      </c>
      <c r="G43" s="5" t="s">
        <v>414</v>
      </c>
      <c r="H43" s="5" t="s">
        <v>415</v>
      </c>
      <c r="I43" s="5" t="s">
        <v>416</v>
      </c>
      <c r="J43" s="5" t="s">
        <v>417</v>
      </c>
    </row>
    <row r="44" spans="1:10" ht="28.5" customHeight="1" x14ac:dyDescent="0.55000000000000004">
      <c r="A44" s="5" t="s">
        <v>408</v>
      </c>
      <c r="B44" s="5" t="s">
        <v>418</v>
      </c>
      <c r="C44" s="5" t="s">
        <v>419</v>
      </c>
      <c r="D44" s="5" t="s">
        <v>420</v>
      </c>
      <c r="E44" s="5" t="s">
        <v>421</v>
      </c>
      <c r="F44" s="5" t="s">
        <v>422</v>
      </c>
      <c r="G44" s="5" t="s">
        <v>423</v>
      </c>
      <c r="H44" s="5" t="s">
        <v>424</v>
      </c>
      <c r="I44" s="5" t="s">
        <v>425</v>
      </c>
      <c r="J44" s="5" t="s">
        <v>426</v>
      </c>
    </row>
  </sheetData>
  <pageMargins left="0.7" right="0.7" top="0.75" bottom="0.75"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44"/>
  <sheetViews>
    <sheetView topLeftCell="G1" zoomScaleNormal="100" workbookViewId="0">
      <pane ySplit="1" topLeftCell="A2" activePane="bottomLeft" state="frozen"/>
      <selection pane="bottomLeft" activeCell="K8" sqref="K8"/>
    </sheetView>
  </sheetViews>
  <sheetFormatPr defaultColWidth="8.68359375" defaultRowHeight="14.4" x14ac:dyDescent="0.55000000000000004"/>
  <cols>
    <col min="1" max="12" width="30" customWidth="1"/>
    <col min="13" max="13" width="70" customWidth="1"/>
  </cols>
  <sheetData>
    <row r="1" spans="1:13" ht="31.5" customHeight="1" x14ac:dyDescent="0.55000000000000004">
      <c r="A1" s="4" t="s">
        <v>24</v>
      </c>
      <c r="B1" s="4" t="s">
        <v>25</v>
      </c>
      <c r="C1" s="4" t="s">
        <v>26</v>
      </c>
      <c r="D1" s="4" t="s">
        <v>27</v>
      </c>
      <c r="E1" s="4" t="s">
        <v>28</v>
      </c>
      <c r="F1" s="4" t="s">
        <v>29</v>
      </c>
      <c r="G1" s="4" t="s">
        <v>427</v>
      </c>
      <c r="H1" s="4" t="s">
        <v>428</v>
      </c>
      <c r="I1" s="4" t="s">
        <v>429</v>
      </c>
      <c r="J1" s="4" t="s">
        <v>430</v>
      </c>
      <c r="K1" s="4" t="s">
        <v>39</v>
      </c>
      <c r="L1" s="4" t="s">
        <v>431</v>
      </c>
      <c r="M1" s="4" t="s">
        <v>432</v>
      </c>
    </row>
    <row r="2" spans="1:13" ht="24.6" x14ac:dyDescent="0.55000000000000004">
      <c r="A2" s="5" t="s">
        <v>89</v>
      </c>
      <c r="B2" s="5" t="s">
        <v>433</v>
      </c>
      <c r="C2" s="5" t="s">
        <v>47</v>
      </c>
      <c r="D2" s="5" t="s">
        <v>91</v>
      </c>
      <c r="E2" s="5" t="s">
        <v>434</v>
      </c>
      <c r="F2" s="5" t="s">
        <v>50</v>
      </c>
      <c r="G2" s="5" t="s">
        <v>52</v>
      </c>
      <c r="H2" s="5" t="s">
        <v>53</v>
      </c>
      <c r="I2" s="5" t="s">
        <v>54</v>
      </c>
      <c r="J2" s="5" t="s">
        <v>435</v>
      </c>
      <c r="K2" s="5" t="s">
        <v>57</v>
      </c>
      <c r="L2" s="5" t="s">
        <v>58</v>
      </c>
      <c r="M2" s="5" t="str">
        <f>'Legal Register'!D2</f>
        <v>EU Web Accessibility Directive (EU) 2016/2102 (WAD)</v>
      </c>
    </row>
    <row r="3" spans="1:13" ht="28.5" customHeight="1" x14ac:dyDescent="0.55000000000000004">
      <c r="A3" s="5" t="s">
        <v>45</v>
      </c>
      <c r="B3" s="5" t="s">
        <v>46</v>
      </c>
      <c r="C3" s="5" t="s">
        <v>436</v>
      </c>
      <c r="D3" s="5" t="s">
        <v>48</v>
      </c>
      <c r="E3" s="5" t="s">
        <v>437</v>
      </c>
      <c r="F3" s="5" t="s">
        <v>438</v>
      </c>
      <c r="G3" s="5" t="s">
        <v>66</v>
      </c>
      <c r="H3" s="5" t="s">
        <v>67</v>
      </c>
      <c r="I3" s="5" t="s">
        <v>95</v>
      </c>
      <c r="J3" s="5" t="s">
        <v>439</v>
      </c>
      <c r="K3" s="5" t="s">
        <v>84</v>
      </c>
      <c r="L3" s="5" t="s">
        <v>440</v>
      </c>
      <c r="M3" s="5" t="str">
        <f>'Legal Register'!D3</f>
        <v>European Accessibility Act — Directive (EU) 2019/882 (EAA)</v>
      </c>
    </row>
    <row r="4" spans="1:13" ht="28.5" customHeight="1" x14ac:dyDescent="0.55000000000000004">
      <c r="A4" s="5" t="s">
        <v>441</v>
      </c>
      <c r="B4" s="5" t="s">
        <v>442</v>
      </c>
      <c r="C4" s="5" t="s">
        <v>443</v>
      </c>
      <c r="D4" s="5" t="s">
        <v>444</v>
      </c>
      <c r="E4" s="5" t="s">
        <v>445</v>
      </c>
      <c r="F4" s="5" t="s">
        <v>78</v>
      </c>
      <c r="G4" s="5" t="s">
        <v>446</v>
      </c>
      <c r="H4" s="5" t="s">
        <v>447</v>
      </c>
      <c r="I4" s="5" t="s">
        <v>448</v>
      </c>
      <c r="J4" s="5" t="s">
        <v>449</v>
      </c>
      <c r="K4" s="5" t="s">
        <v>450</v>
      </c>
      <c r="L4" s="5" t="s">
        <v>85</v>
      </c>
      <c r="M4" s="5" t="str">
        <f>'Legal Register'!D4</f>
        <v>France — Article 47, Law No. 2005-102 + RGAA</v>
      </c>
    </row>
    <row r="5" spans="1:13" ht="24.6" x14ac:dyDescent="0.55000000000000004">
      <c r="A5" s="5" t="s">
        <v>451</v>
      </c>
      <c r="B5" s="5" t="s">
        <v>452</v>
      </c>
      <c r="C5" s="5" t="s">
        <v>453</v>
      </c>
      <c r="D5" s="5" t="s">
        <v>77</v>
      </c>
      <c r="E5" s="5" t="s">
        <v>454</v>
      </c>
      <c r="F5" s="5" t="s">
        <v>455</v>
      </c>
      <c r="G5" s="5" t="s">
        <v>456</v>
      </c>
      <c r="H5" s="5" t="s">
        <v>457</v>
      </c>
      <c r="I5" s="5" t="s">
        <v>55</v>
      </c>
      <c r="J5" s="5" t="s">
        <v>458</v>
      </c>
      <c r="K5" s="5" t="s">
        <v>459</v>
      </c>
      <c r="L5" s="5" t="s">
        <v>460</v>
      </c>
      <c r="M5" s="5" t="str">
        <f>'Legal Register'!D5</f>
        <v>Germany — BITV 2.0</v>
      </c>
    </row>
    <row r="6" spans="1:13" x14ac:dyDescent="0.55000000000000004">
      <c r="A6" s="5" t="s">
        <v>461</v>
      </c>
      <c r="B6" s="5" t="s">
        <v>76</v>
      </c>
      <c r="C6" s="5" t="s">
        <v>462</v>
      </c>
      <c r="D6" s="5" t="s">
        <v>463</v>
      </c>
      <c r="E6" s="5" t="s">
        <v>464</v>
      </c>
      <c r="F6" s="5"/>
      <c r="G6" s="5" t="s">
        <v>261</v>
      </c>
      <c r="H6" s="5" t="s">
        <v>465</v>
      </c>
      <c r="I6" s="5" t="s">
        <v>466</v>
      </c>
      <c r="J6" s="5" t="s">
        <v>467</v>
      </c>
      <c r="K6" s="5" t="s">
        <v>468</v>
      </c>
      <c r="L6" s="5" t="s">
        <v>71</v>
      </c>
      <c r="M6" s="5" t="str">
        <f>'Legal Register'!D6</f>
        <v>Italy — Law No. 4/2004 (Stanca Law), as amended</v>
      </c>
    </row>
    <row r="7" spans="1:13" x14ac:dyDescent="0.55000000000000004">
      <c r="A7" s="5" t="s">
        <v>469</v>
      </c>
      <c r="B7" s="5" t="s">
        <v>90</v>
      </c>
      <c r="C7" s="5" t="s">
        <v>470</v>
      </c>
      <c r="D7" s="5" t="s">
        <v>471</v>
      </c>
      <c r="E7" s="5" t="s">
        <v>49</v>
      </c>
      <c r="F7" s="5"/>
      <c r="G7" s="5" t="s">
        <v>472</v>
      </c>
      <c r="H7" s="5" t="s">
        <v>473</v>
      </c>
      <c r="I7" s="5" t="s">
        <v>474</v>
      </c>
      <c r="J7" s="5" t="s">
        <v>475</v>
      </c>
      <c r="K7" s="5"/>
      <c r="L7" s="5" t="s">
        <v>476</v>
      </c>
      <c r="M7" s="5" t="str">
        <f>'Legal Register'!D7</f>
        <v>Spain — Royal Decree 1112/2018</v>
      </c>
    </row>
    <row r="8" spans="1:13" ht="28.5" customHeight="1" x14ac:dyDescent="0.55000000000000004">
      <c r="A8" s="5" t="s">
        <v>477</v>
      </c>
      <c r="B8" s="5" t="s">
        <v>478</v>
      </c>
      <c r="C8" s="5" t="s">
        <v>479</v>
      </c>
      <c r="D8" s="5" t="s">
        <v>480</v>
      </c>
      <c r="E8" s="5" t="s">
        <v>481</v>
      </c>
      <c r="F8" s="5"/>
      <c r="G8" s="5" t="s">
        <v>94</v>
      </c>
      <c r="H8" s="5" t="s">
        <v>482</v>
      </c>
      <c r="I8" s="5" t="s">
        <v>483</v>
      </c>
      <c r="J8" s="5" t="s">
        <v>484</v>
      </c>
      <c r="K8" s="5"/>
      <c r="L8" s="5"/>
      <c r="M8" s="5" t="str">
        <f>'Legal Register'!D8</f>
        <v>Ireland — S.I. No. 358/2020 Accessibility Regulations</v>
      </c>
    </row>
    <row r="9" spans="1:13" x14ac:dyDescent="0.55000000000000004">
      <c r="A9" s="5" t="s">
        <v>485</v>
      </c>
      <c r="B9" s="5" t="s">
        <v>486</v>
      </c>
      <c r="C9" s="5" t="s">
        <v>487</v>
      </c>
      <c r="D9" s="5" t="s">
        <v>488</v>
      </c>
      <c r="E9" s="5" t="s">
        <v>489</v>
      </c>
      <c r="F9" s="5"/>
      <c r="G9" s="5" t="s">
        <v>490</v>
      </c>
      <c r="H9" s="5" t="s">
        <v>491</v>
      </c>
      <c r="I9" s="5" t="s">
        <v>492</v>
      </c>
      <c r="J9" s="5" t="s">
        <v>493</v>
      </c>
      <c r="K9" s="5"/>
      <c r="L9" s="5"/>
      <c r="M9" s="5" t="str">
        <f>'Legal Register'!D9</f>
        <v>Sweden — Act (2018:1937) on accessibility to digital public services</v>
      </c>
    </row>
    <row r="10" spans="1:13" ht="28.5" customHeight="1" x14ac:dyDescent="0.55000000000000004">
      <c r="A10" s="5" t="s">
        <v>494</v>
      </c>
      <c r="B10" s="5" t="s">
        <v>63</v>
      </c>
      <c r="C10" s="5" t="s">
        <v>495</v>
      </c>
      <c r="D10" s="5" t="s">
        <v>496</v>
      </c>
      <c r="E10" s="5" t="s">
        <v>497</v>
      </c>
      <c r="F10" s="5"/>
      <c r="G10" s="5" t="s">
        <v>498</v>
      </c>
      <c r="H10" s="5" t="s">
        <v>499</v>
      </c>
      <c r="I10" s="5" t="s">
        <v>500</v>
      </c>
      <c r="J10" s="5" t="s">
        <v>501</v>
      </c>
      <c r="K10" s="5"/>
      <c r="L10" s="5"/>
      <c r="M10" s="5" t="str">
        <f>'Legal Register'!D10</f>
        <v>Finland — Act on the Provision of Digital Services (306/2019)</v>
      </c>
    </row>
    <row r="11" spans="1:13" ht="28.5" customHeight="1" x14ac:dyDescent="0.55000000000000004">
      <c r="A11" s="5" t="s">
        <v>502</v>
      </c>
      <c r="B11" s="5" t="s">
        <v>503</v>
      </c>
      <c r="C11" s="5" t="s">
        <v>504</v>
      </c>
      <c r="D11" s="5" t="s">
        <v>505</v>
      </c>
      <c r="E11" s="5" t="s">
        <v>506</v>
      </c>
      <c r="F11" s="5"/>
      <c r="G11" s="5" t="s">
        <v>507</v>
      </c>
      <c r="H11" s="5" t="s">
        <v>508</v>
      </c>
      <c r="I11" s="5" t="s">
        <v>509</v>
      </c>
      <c r="J11" s="5" t="s">
        <v>97</v>
      </c>
      <c r="K11" s="5"/>
      <c r="L11" s="5"/>
      <c r="M11" s="5" t="str">
        <f>'Legal Register'!D11</f>
        <v>Denmark — Web Accessibility Act</v>
      </c>
    </row>
    <row r="12" spans="1:13" ht="28.5" customHeight="1" x14ac:dyDescent="0.55000000000000004">
      <c r="A12" s="5" t="s">
        <v>510</v>
      </c>
      <c r="B12" s="5"/>
      <c r="C12" s="5" t="s">
        <v>511</v>
      </c>
      <c r="D12" s="5" t="s">
        <v>512</v>
      </c>
      <c r="E12" s="5" t="s">
        <v>64</v>
      </c>
      <c r="F12" s="5"/>
      <c r="G12" s="5" t="s">
        <v>513</v>
      </c>
      <c r="H12" s="5" t="s">
        <v>514</v>
      </c>
      <c r="I12" s="5" t="s">
        <v>515</v>
      </c>
      <c r="J12" s="5" t="s">
        <v>516</v>
      </c>
      <c r="K12" s="5"/>
      <c r="L12" s="5"/>
      <c r="M12" s="5" t="str">
        <f>'Legal Register'!D12</f>
        <v>Belgium — Law on accessibility of websites and mobile applications of public bodies (2018)</v>
      </c>
    </row>
    <row r="13" spans="1:13" ht="28.5" customHeight="1" x14ac:dyDescent="0.55000000000000004">
      <c r="A13" s="5" t="s">
        <v>62</v>
      </c>
      <c r="B13" s="5"/>
      <c r="C13" s="5" t="s">
        <v>517</v>
      </c>
      <c r="D13" s="5" t="s">
        <v>518</v>
      </c>
      <c r="E13" s="5"/>
      <c r="F13" s="5"/>
      <c r="G13" s="5" t="s">
        <v>519</v>
      </c>
      <c r="H13" s="5" t="s">
        <v>80</v>
      </c>
      <c r="I13" s="5" t="s">
        <v>96</v>
      </c>
      <c r="J13" s="5" t="s">
        <v>70</v>
      </c>
      <c r="K13" s="5"/>
      <c r="L13" s="5"/>
      <c r="M13" s="5" t="str">
        <f>'Legal Register'!D13</f>
        <v>Netherlands — public-sector digital accessibility decree/rules</v>
      </c>
    </row>
    <row r="14" spans="1:13" ht="28.5" customHeight="1" x14ac:dyDescent="0.55000000000000004">
      <c r="A14" s="5" t="s">
        <v>520</v>
      </c>
      <c r="B14" s="5"/>
      <c r="C14" s="5" t="s">
        <v>521</v>
      </c>
      <c r="D14" s="5" t="s">
        <v>503</v>
      </c>
      <c r="E14" s="5"/>
      <c r="F14" s="5"/>
      <c r="G14" s="5" t="s">
        <v>522</v>
      </c>
      <c r="H14" s="5"/>
      <c r="I14" s="5" t="s">
        <v>523</v>
      </c>
      <c r="J14" s="5" t="s">
        <v>524</v>
      </c>
      <c r="K14" s="5"/>
      <c r="L14" s="5"/>
      <c r="M14" s="5" t="str">
        <f>'Legal Register'!D14</f>
        <v>Poland — Act of 4 April 2019 on digital accessibility</v>
      </c>
    </row>
    <row r="15" spans="1:13" ht="28.5" customHeight="1" x14ac:dyDescent="0.55000000000000004">
      <c r="A15" s="5" t="s">
        <v>75</v>
      </c>
      <c r="B15" s="5"/>
      <c r="C15" s="5" t="s">
        <v>525</v>
      </c>
      <c r="D15" s="5"/>
      <c r="E15" s="5"/>
      <c r="F15" s="5"/>
      <c r="G15" s="5" t="s">
        <v>526</v>
      </c>
      <c r="H15" s="5"/>
      <c r="I15" s="5" t="s">
        <v>527</v>
      </c>
      <c r="J15" s="5" t="s">
        <v>528</v>
      </c>
      <c r="K15" s="5"/>
      <c r="L15" s="5"/>
      <c r="M15" s="5" t="str">
        <f>'Legal Register'!D15</f>
        <v>Portugal — Decreto-Lei n.º 83/2018</v>
      </c>
    </row>
    <row r="16" spans="1:13" x14ac:dyDescent="0.55000000000000004">
      <c r="A16" s="5" t="s">
        <v>529</v>
      </c>
      <c r="B16" s="5"/>
      <c r="C16" s="5" t="s">
        <v>530</v>
      </c>
      <c r="D16" s="5"/>
      <c r="E16" s="5"/>
      <c r="F16" s="5"/>
      <c r="G16" s="5" t="s">
        <v>531</v>
      </c>
      <c r="H16" s="5"/>
      <c r="I16" s="5" t="s">
        <v>532</v>
      </c>
      <c r="J16" s="5" t="s">
        <v>533</v>
      </c>
      <c r="K16" s="5"/>
      <c r="L16" s="5"/>
      <c r="M16" s="5" t="str">
        <f>'Legal Register'!D16</f>
        <v>UK — Public Sector Bodies Accessibility Regulations 2018</v>
      </c>
    </row>
    <row r="17" spans="1:13" x14ac:dyDescent="0.55000000000000004">
      <c r="A17" s="5" t="s">
        <v>534</v>
      </c>
      <c r="B17" s="5"/>
      <c r="C17" s="5" t="s">
        <v>503</v>
      </c>
      <c r="D17" s="5"/>
      <c r="E17" s="5"/>
      <c r="F17" s="5"/>
      <c r="G17" s="5" t="s">
        <v>535</v>
      </c>
      <c r="H17" s="5"/>
      <c r="I17" s="5" t="s">
        <v>536</v>
      </c>
      <c r="J17" s="5" t="s">
        <v>56</v>
      </c>
      <c r="K17" s="5"/>
      <c r="L17" s="5"/>
      <c r="M17" s="5" t="str">
        <f>'Legal Register'!D17</f>
        <v>UK — Equality Act 2010</v>
      </c>
    </row>
    <row r="18" spans="1:13" x14ac:dyDescent="0.55000000000000004">
      <c r="A18" s="5" t="s">
        <v>537</v>
      </c>
      <c r="B18" s="5"/>
      <c r="C18" s="5"/>
      <c r="D18" s="5"/>
      <c r="E18" s="5"/>
      <c r="F18" s="5"/>
      <c r="G18" s="5"/>
      <c r="H18" s="5"/>
      <c r="I18" s="5" t="s">
        <v>83</v>
      </c>
      <c r="J18" s="5" t="s">
        <v>538</v>
      </c>
      <c r="K18" s="5"/>
      <c r="L18" s="5"/>
      <c r="M18" s="5" t="str">
        <f>'Legal Register'!D18</f>
        <v>US — Americans with Disabilities Act (ADA)</v>
      </c>
    </row>
    <row r="19" spans="1:13" x14ac:dyDescent="0.55000000000000004">
      <c r="A19" s="5" t="s">
        <v>539</v>
      </c>
      <c r="B19" s="5"/>
      <c r="C19" s="5"/>
      <c r="D19" s="5"/>
      <c r="E19" s="5"/>
      <c r="F19" s="5"/>
      <c r="G19" s="5"/>
      <c r="H19" s="5"/>
      <c r="I19" s="5" t="s">
        <v>69</v>
      </c>
      <c r="J19" s="5"/>
      <c r="K19" s="5"/>
      <c r="L19" s="5"/>
      <c r="M19" s="5" t="str">
        <f>'Legal Register'!D19</f>
        <v>US — ADA Title II Web &amp; Mobile Accessibility Rule (2024)</v>
      </c>
    </row>
    <row r="20" spans="1:13" x14ac:dyDescent="0.55000000000000004">
      <c r="A20" s="5" t="s">
        <v>540</v>
      </c>
      <c r="B20" s="5"/>
      <c r="C20" s="5"/>
      <c r="D20" s="5"/>
      <c r="E20" s="5"/>
      <c r="F20" s="5"/>
      <c r="G20" s="5"/>
      <c r="H20" s="5"/>
      <c r="I20" s="5" t="s">
        <v>82</v>
      </c>
      <c r="J20" s="5"/>
      <c r="K20" s="5"/>
      <c r="L20" s="5"/>
      <c r="M20" s="5" t="str">
        <f>'Legal Register'!D20</f>
        <v>US — Section 508 of the Rehabilitation Act</v>
      </c>
    </row>
    <row r="21" spans="1:13" x14ac:dyDescent="0.55000000000000004">
      <c r="A21" s="5" t="s">
        <v>503</v>
      </c>
      <c r="B21" s="5"/>
      <c r="C21" s="5"/>
      <c r="D21" s="5"/>
      <c r="E21" s="5"/>
      <c r="F21" s="5"/>
      <c r="G21" s="5"/>
      <c r="H21" s="5"/>
      <c r="I21" s="5" t="s">
        <v>541</v>
      </c>
      <c r="J21" s="5"/>
      <c r="K21" s="5"/>
      <c r="L21" s="5"/>
      <c r="M21" s="5" t="str">
        <f>'Legal Register'!D21</f>
        <v>US — Air Carrier Access Act web/kiosk accessibility rule</v>
      </c>
    </row>
    <row r="22" spans="1:13" ht="28.5" customHeight="1" x14ac:dyDescent="0.55000000000000004">
      <c r="A22" s="5"/>
      <c r="B22" s="5"/>
      <c r="C22" s="5"/>
      <c r="D22" s="5"/>
      <c r="E22" s="5"/>
      <c r="F22" s="5"/>
      <c r="G22" s="5"/>
      <c r="H22" s="5"/>
      <c r="I22" s="5" t="s">
        <v>542</v>
      </c>
      <c r="J22" s="5"/>
      <c r="K22" s="5"/>
      <c r="L22" s="5"/>
      <c r="M22" s="5" t="str">
        <f>'Legal Register'!D22</f>
        <v>US — 21st Century Communications and Video Accessibility Act (CVAA)</v>
      </c>
    </row>
    <row r="23" spans="1:13" x14ac:dyDescent="0.55000000000000004">
      <c r="A23" s="5"/>
      <c r="B23" s="5"/>
      <c r="C23" s="5"/>
      <c r="D23" s="5"/>
      <c r="E23" s="5"/>
      <c r="F23" s="5"/>
      <c r="G23" s="5"/>
      <c r="H23" s="5"/>
      <c r="I23" s="5" t="s">
        <v>543</v>
      </c>
      <c r="J23" s="5"/>
      <c r="K23" s="5"/>
      <c r="L23" s="5"/>
      <c r="M23" s="5" t="str">
        <f>'Legal Register'!D23</f>
        <v>Canada — Accessible Canada Act (ACA)</v>
      </c>
    </row>
    <row r="24" spans="1:13" x14ac:dyDescent="0.55000000000000004">
      <c r="A24" s="5"/>
      <c r="B24" s="5"/>
      <c r="C24" s="5"/>
      <c r="D24" s="5"/>
      <c r="E24" s="5"/>
      <c r="F24" s="5"/>
      <c r="G24" s="5"/>
      <c r="H24" s="5"/>
      <c r="I24" s="5" t="s">
        <v>544</v>
      </c>
      <c r="J24" s="5"/>
      <c r="K24" s="5"/>
      <c r="L24" s="5"/>
      <c r="M24" s="5" t="str">
        <f>'Legal Register'!D24</f>
        <v>Canada — CAN/ASC-EN 301 549:2024</v>
      </c>
    </row>
    <row r="25" spans="1:13" x14ac:dyDescent="0.55000000000000004">
      <c r="A25" s="5"/>
      <c r="B25" s="5"/>
      <c r="C25" s="5"/>
      <c r="D25" s="5"/>
      <c r="E25" s="5"/>
      <c r="F25" s="5"/>
      <c r="G25" s="5"/>
      <c r="H25" s="5"/>
      <c r="I25" s="5" t="s">
        <v>545</v>
      </c>
      <c r="J25" s="5"/>
      <c r="K25" s="5"/>
      <c r="L25" s="5"/>
      <c r="M25" s="5" t="str">
        <f>'Legal Register'!D25</f>
        <v>Ontario — AODA web accessibility requirements</v>
      </c>
    </row>
    <row r="26" spans="1:13" x14ac:dyDescent="0.55000000000000004">
      <c r="A26" s="5"/>
      <c r="B26" s="5"/>
      <c r="C26" s="5"/>
      <c r="D26" s="5"/>
      <c r="E26" s="5"/>
      <c r="F26" s="5"/>
      <c r="G26" s="5"/>
      <c r="H26" s="5"/>
      <c r="I26" s="5" t="s">
        <v>546</v>
      </c>
      <c r="J26" s="5"/>
      <c r="K26" s="5"/>
      <c r="L26" s="5"/>
      <c r="M26" s="5" t="str">
        <f>'Legal Register'!D26</f>
        <v>Australia — Disability Discrimination Act 1992 (DDA)</v>
      </c>
    </row>
    <row r="27" spans="1:13" x14ac:dyDescent="0.55000000000000004">
      <c r="A27" s="5"/>
      <c r="B27" s="5"/>
      <c r="C27" s="5"/>
      <c r="D27" s="5"/>
      <c r="E27" s="5"/>
      <c r="F27" s="5"/>
      <c r="G27" s="5"/>
      <c r="H27" s="5"/>
      <c r="I27" s="5" t="s">
        <v>547</v>
      </c>
      <c r="J27" s="5"/>
      <c r="K27" s="5"/>
      <c r="L27" s="5"/>
      <c r="M27" s="5" t="str">
        <f>'Legal Register'!D27</f>
        <v>Australia — Digital Experience Policy / Digital Service Standard</v>
      </c>
    </row>
    <row r="28" spans="1:13" x14ac:dyDescent="0.55000000000000004">
      <c r="A28" s="5"/>
      <c r="B28" s="5"/>
      <c r="C28" s="5"/>
      <c r="D28" s="5"/>
      <c r="E28" s="5"/>
      <c r="F28" s="5"/>
      <c r="G28" s="5"/>
      <c r="H28" s="5"/>
      <c r="I28" s="5"/>
      <c r="J28" s="5"/>
      <c r="K28" s="5"/>
      <c r="L28" s="5"/>
      <c r="M28" s="5" t="str">
        <f>'Legal Register'!D28</f>
        <v>Australia — Commonwealth Procurement Rules + AS EN 301 549</v>
      </c>
    </row>
    <row r="29" spans="1:13" x14ac:dyDescent="0.55000000000000004">
      <c r="A29" s="5"/>
      <c r="B29" s="5"/>
      <c r="C29" s="5"/>
      <c r="D29" s="5"/>
      <c r="E29" s="5"/>
      <c r="F29" s="5"/>
      <c r="G29" s="5"/>
      <c r="H29" s="5"/>
      <c r="I29" s="5"/>
      <c r="J29" s="5"/>
      <c r="K29" s="5"/>
      <c r="L29" s="5"/>
      <c r="M29" s="5" t="str">
        <f>'Legal Register'!D29</f>
        <v>New Zealand — Human Rights Act 1993</v>
      </c>
    </row>
    <row r="30" spans="1:13" x14ac:dyDescent="0.55000000000000004">
      <c r="A30" s="5"/>
      <c r="B30" s="5"/>
      <c r="C30" s="5"/>
      <c r="D30" s="5"/>
      <c r="E30" s="5"/>
      <c r="F30" s="5"/>
      <c r="G30" s="5"/>
      <c r="H30" s="5"/>
      <c r="I30" s="5"/>
      <c r="J30" s="5"/>
      <c r="K30" s="5"/>
      <c r="L30" s="5"/>
      <c r="M30" s="5" t="str">
        <f>'Legal Register'!D30</f>
        <v>New Zealand — Government Web Accessibility Standard</v>
      </c>
    </row>
    <row r="31" spans="1:13" ht="28.5" customHeight="1" x14ac:dyDescent="0.55000000000000004">
      <c r="A31" s="5"/>
      <c r="B31" s="5"/>
      <c r="C31" s="5"/>
      <c r="D31" s="5"/>
      <c r="E31" s="5"/>
      <c r="F31" s="5"/>
      <c r="G31" s="5"/>
      <c r="H31" s="5"/>
      <c r="I31" s="5"/>
      <c r="J31" s="5"/>
      <c r="K31" s="5"/>
      <c r="L31" s="5"/>
      <c r="M31" s="5" t="str">
        <f>'Legal Register'!D31</f>
        <v>Japan — Act for Eliminating Discrimination against Persons with Disabilities</v>
      </c>
    </row>
    <row r="32" spans="1:13" x14ac:dyDescent="0.55000000000000004">
      <c r="A32" s="5"/>
      <c r="B32" s="5"/>
      <c r="C32" s="5"/>
      <c r="D32" s="5"/>
      <c r="E32" s="5"/>
      <c r="F32" s="5"/>
      <c r="G32" s="5"/>
      <c r="H32" s="5"/>
      <c r="I32" s="5"/>
      <c r="J32" s="5"/>
      <c r="K32" s="5"/>
      <c r="L32" s="5"/>
      <c r="M32" s="5" t="str">
        <f>'Legal Register'!D32</f>
        <v>Japan — JIS X 8341-3:2016 + Everyone's Public Website Guidelines</v>
      </c>
    </row>
    <row r="33" spans="1:13" x14ac:dyDescent="0.55000000000000004">
      <c r="A33" s="5"/>
      <c r="B33" s="5"/>
      <c r="C33" s="5"/>
      <c r="D33" s="5"/>
      <c r="E33" s="5"/>
      <c r="F33" s="5"/>
      <c r="G33" s="5"/>
      <c r="H33" s="5"/>
      <c r="I33" s="5"/>
      <c r="J33" s="5"/>
      <c r="K33" s="5"/>
      <c r="L33" s="5"/>
      <c r="M33" s="5" t="str">
        <f>'Legal Register'!D33</f>
        <v>India — Rights of Persons with Disabilities Act 2016</v>
      </c>
    </row>
    <row r="34" spans="1:13" x14ac:dyDescent="0.55000000000000004">
      <c r="A34" s="5"/>
      <c r="B34" s="5"/>
      <c r="C34" s="5"/>
      <c r="D34" s="5"/>
      <c r="E34" s="5"/>
      <c r="F34" s="5"/>
      <c r="G34" s="5"/>
      <c r="H34" s="5"/>
      <c r="I34" s="5"/>
      <c r="J34" s="5"/>
      <c r="K34" s="5"/>
      <c r="L34" s="5"/>
      <c r="M34" s="5" t="str">
        <f>'Legal Register'!D34</f>
        <v>India — Guidelines for Indian Government Websites / Apps (GIGW)</v>
      </c>
    </row>
    <row r="35" spans="1:13" x14ac:dyDescent="0.55000000000000004">
      <c r="A35" s="5"/>
      <c r="B35" s="5"/>
      <c r="C35" s="5"/>
      <c r="D35" s="5"/>
      <c r="E35" s="5"/>
      <c r="F35" s="5"/>
      <c r="G35" s="5"/>
      <c r="H35" s="5"/>
      <c r="I35" s="5"/>
      <c r="J35" s="5"/>
      <c r="K35" s="5"/>
      <c r="L35" s="5"/>
      <c r="M35" s="5" t="str">
        <f>'Legal Register'!D35</f>
        <v>Republic of Korea — disability accessibility framework</v>
      </c>
    </row>
    <row r="36" spans="1:13" ht="28.5" customHeight="1" x14ac:dyDescent="0.55000000000000004">
      <c r="A36" s="5"/>
      <c r="B36" s="5"/>
      <c r="C36" s="5"/>
      <c r="D36" s="5"/>
      <c r="E36" s="5"/>
      <c r="F36" s="5"/>
      <c r="G36" s="5"/>
      <c r="H36" s="5"/>
      <c r="I36" s="5"/>
      <c r="J36" s="5"/>
      <c r="K36" s="5"/>
      <c r="L36" s="5"/>
      <c r="M36" s="5" t="str">
        <f>'Legal Register'!D36</f>
        <v>China — Law on Protection of Persons with Disabilities + digital accessibility standards</v>
      </c>
    </row>
    <row r="37" spans="1:13" x14ac:dyDescent="0.55000000000000004">
      <c r="A37" s="5"/>
      <c r="B37" s="5"/>
      <c r="C37" s="5"/>
      <c r="D37" s="5"/>
      <c r="E37" s="5"/>
      <c r="F37" s="5"/>
      <c r="G37" s="5"/>
      <c r="H37" s="5"/>
      <c r="I37" s="5"/>
      <c r="J37" s="5"/>
      <c r="K37" s="5"/>
      <c r="L37" s="5"/>
      <c r="M37" s="5" t="str">
        <f>'Legal Register'!D37</f>
        <v>Hong Kong — Government web accessibility guidance</v>
      </c>
    </row>
    <row r="38" spans="1:13" ht="28.5" customHeight="1" x14ac:dyDescent="0.55000000000000004">
      <c r="A38" s="5"/>
      <c r="B38" s="5"/>
      <c r="C38" s="5"/>
      <c r="D38" s="5"/>
      <c r="E38" s="5"/>
      <c r="F38" s="5"/>
      <c r="G38" s="5"/>
      <c r="H38" s="5"/>
      <c r="I38" s="5"/>
      <c r="J38" s="5"/>
      <c r="K38" s="5"/>
      <c r="L38" s="5"/>
      <c r="M38" s="5" t="str">
        <f>'Legal Register'!D38</f>
        <v>Israel — Equal Rights for Persons with Disabilities framework + web accessibility regulations</v>
      </c>
    </row>
    <row r="39" spans="1:13" x14ac:dyDescent="0.55000000000000004">
      <c r="A39" s="5"/>
      <c r="B39" s="5"/>
      <c r="C39" s="5"/>
      <c r="D39" s="5"/>
      <c r="E39" s="5"/>
      <c r="F39" s="5"/>
      <c r="G39" s="5"/>
      <c r="H39" s="5"/>
      <c r="I39" s="5"/>
      <c r="J39" s="5"/>
      <c r="K39" s="5"/>
      <c r="L39" s="5"/>
      <c r="M39" s="5" t="str">
        <f>'Legal Register'!D39</f>
        <v>Brazil — Brazilian Law of Inclusion (Law No. 13.146/2015)</v>
      </c>
    </row>
    <row r="40" spans="1:13" x14ac:dyDescent="0.55000000000000004">
      <c r="A40" s="5"/>
      <c r="B40" s="5"/>
      <c r="C40" s="5"/>
      <c r="D40" s="5"/>
      <c r="E40" s="5"/>
      <c r="F40" s="5"/>
      <c r="G40" s="5"/>
      <c r="H40" s="5"/>
      <c r="I40" s="5"/>
      <c r="J40" s="5"/>
      <c r="K40" s="5"/>
      <c r="L40" s="5"/>
      <c r="M40" s="5" t="str">
        <f>'Legal Register'!D40</f>
        <v>Brazil — eMAG</v>
      </c>
    </row>
    <row r="41" spans="1:13" x14ac:dyDescent="0.55000000000000004">
      <c r="A41" s="5"/>
      <c r="B41" s="5"/>
      <c r="C41" s="5"/>
      <c r="D41" s="5"/>
      <c r="E41" s="5"/>
      <c r="F41" s="5"/>
      <c r="G41" s="5"/>
      <c r="H41" s="5"/>
      <c r="I41" s="5"/>
      <c r="J41" s="5"/>
      <c r="K41" s="5"/>
      <c r="L41" s="5"/>
      <c r="M41" s="5" t="str">
        <f>'Legal Register'!D41</f>
        <v>Argentina — Law No. 26.653 on Web Accessibility</v>
      </c>
    </row>
    <row r="42" spans="1:13" x14ac:dyDescent="0.55000000000000004">
      <c r="A42" s="5"/>
      <c r="B42" s="5"/>
      <c r="C42" s="5"/>
      <c r="D42" s="5"/>
      <c r="E42" s="5"/>
      <c r="F42" s="5"/>
      <c r="G42" s="5"/>
      <c r="H42" s="5"/>
      <c r="I42" s="5"/>
      <c r="J42" s="5"/>
      <c r="K42" s="5"/>
      <c r="L42" s="5"/>
      <c r="M42" s="5" t="str">
        <f>'Legal Register'!D42</f>
        <v>Colombia — Resolution 1519/2020 web accessibility framework</v>
      </c>
    </row>
    <row r="43" spans="1:13" x14ac:dyDescent="0.55000000000000004">
      <c r="A43" s="5"/>
      <c r="B43" s="5"/>
      <c r="C43" s="5"/>
      <c r="D43" s="5"/>
      <c r="E43" s="5"/>
      <c r="F43" s="5"/>
      <c r="G43" s="5"/>
      <c r="H43" s="5"/>
      <c r="I43" s="5"/>
      <c r="J43" s="5"/>
      <c r="K43" s="5"/>
      <c r="L43" s="5"/>
      <c r="M43" s="5" t="str">
        <f>'Legal Register'!D43</f>
        <v>Kenya — KS 2952 Accessibility of ICT Products and Services</v>
      </c>
    </row>
    <row r="44" spans="1:13" x14ac:dyDescent="0.55000000000000004">
      <c r="A44" s="5"/>
      <c r="B44" s="5"/>
      <c r="C44" s="5"/>
      <c r="D44" s="5"/>
      <c r="E44" s="5"/>
      <c r="F44" s="5"/>
      <c r="G44" s="5"/>
      <c r="H44" s="5"/>
      <c r="I44" s="5"/>
      <c r="J44" s="5"/>
      <c r="K44" s="5"/>
      <c r="L44" s="5"/>
      <c r="M44" s="5" t="str">
        <f>'Legal Register'!D44</f>
        <v>South Africa — Government Website Accessibility Guidelines</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85"/>
  <sheetViews>
    <sheetView showGridLines="0" topLeftCell="A264" zoomScaleNormal="100" workbookViewId="0"/>
  </sheetViews>
  <sheetFormatPr defaultColWidth="8.68359375" defaultRowHeight="14.4" x14ac:dyDescent="0.55000000000000004"/>
  <cols>
    <col min="1" max="1" width="58" customWidth="1"/>
    <col min="2" max="2" width="22" customWidth="1"/>
    <col min="3" max="3" width="16" customWidth="1"/>
    <col min="4" max="19" width="10" customWidth="1"/>
  </cols>
  <sheetData>
    <row r="1" spans="1:3" ht="17.7" x14ac:dyDescent="0.55000000000000004">
      <c r="A1" s="7" t="s">
        <v>548</v>
      </c>
    </row>
    <row r="2" spans="1:3" x14ac:dyDescent="0.55000000000000004">
      <c r="A2" s="8" t="s">
        <v>549</v>
      </c>
    </row>
    <row r="4" spans="1:3" x14ac:dyDescent="0.55000000000000004">
      <c r="A4" s="9" t="s">
        <v>550</v>
      </c>
    </row>
    <row r="5" spans="1:3" x14ac:dyDescent="0.55000000000000004">
      <c r="A5" s="10" t="s">
        <v>551</v>
      </c>
      <c r="B5" s="11" t="s">
        <v>552</v>
      </c>
      <c r="C5" s="11" t="s">
        <v>553</v>
      </c>
    </row>
    <row r="6" spans="1:3" x14ac:dyDescent="0.55000000000000004">
      <c r="A6" s="12" t="s">
        <v>554</v>
      </c>
      <c r="B6" s="13">
        <f>COUNTA('Accessibility Inventory'!$A$2:$A$1000)</f>
        <v>4</v>
      </c>
      <c r="C6" s="14"/>
    </row>
    <row r="7" spans="1:3" x14ac:dyDescent="0.55000000000000004">
      <c r="A7" s="12" t="s">
        <v>50</v>
      </c>
      <c r="B7" s="13">
        <f>COUNTIF('Accessibility Inventory'!$H$2:$H$1000,"In scope")</f>
        <v>3</v>
      </c>
      <c r="C7" s="14">
        <f t="shared" ref="C7:C12" si="0">IF($B$6=0,0,B7/$B$6)</f>
        <v>0.75</v>
      </c>
    </row>
    <row r="8" spans="1:3" x14ac:dyDescent="0.55000000000000004">
      <c r="A8" s="12" t="s">
        <v>455</v>
      </c>
      <c r="B8" s="13">
        <f>COUNTIF('Accessibility Inventory'!$H$2:$H$1000,"Partially in scope")</f>
        <v>0</v>
      </c>
      <c r="C8" s="14">
        <f t="shared" si="0"/>
        <v>0</v>
      </c>
    </row>
    <row r="9" spans="1:3" x14ac:dyDescent="0.55000000000000004">
      <c r="A9" s="12" t="s">
        <v>78</v>
      </c>
      <c r="B9" s="13">
        <f>COUNTIF('Accessibility Inventory'!$H$2:$H$1000,"Pending assessment")</f>
        <v>1</v>
      </c>
      <c r="C9" s="14">
        <f t="shared" si="0"/>
        <v>0.25</v>
      </c>
    </row>
    <row r="10" spans="1:3" x14ac:dyDescent="0.55000000000000004">
      <c r="A10" s="12" t="s">
        <v>555</v>
      </c>
      <c r="B10" s="13">
        <f>COUNTIF('Accessibility Inventory'!$H$2:$H$1000,"Out of scope — documented basis")</f>
        <v>0</v>
      </c>
      <c r="C10" s="14">
        <f t="shared" si="0"/>
        <v>0</v>
      </c>
    </row>
    <row r="11" spans="1:3" x14ac:dyDescent="0.55000000000000004">
      <c r="A11" s="12" t="s">
        <v>556</v>
      </c>
      <c r="B11" s="13">
        <f>COUNTIF('Accessibility Inventory'!$R$2:$R$1000,"Critical*")+COUNTIF('Accessibility Inventory'!$R$2:$R$1000,"High*")</f>
        <v>4</v>
      </c>
      <c r="C11" s="14">
        <f t="shared" si="0"/>
        <v>1</v>
      </c>
    </row>
    <row r="12" spans="1:3" x14ac:dyDescent="0.55000000000000004">
      <c r="A12" s="12" t="s">
        <v>557</v>
      </c>
      <c r="B12" s="13">
        <f>COUNTA('Accessibility Inventory'!$M$2:$M$1000)-COUNTIF('Accessibility Inventory'!$M$2:$M$1000,"None identified")-COUNTIF('Accessibility Inventory'!$M$2:$M$1000,"Not applicable")</f>
        <v>3</v>
      </c>
      <c r="C12" s="14">
        <f t="shared" si="0"/>
        <v>0.75</v>
      </c>
    </row>
    <row r="14" spans="1:3" x14ac:dyDescent="0.55000000000000004">
      <c r="A14" s="9" t="s">
        <v>558</v>
      </c>
    </row>
    <row r="15" spans="1:3" x14ac:dyDescent="0.55000000000000004">
      <c r="A15" s="10" t="s">
        <v>559</v>
      </c>
      <c r="B15" s="11" t="s">
        <v>560</v>
      </c>
      <c r="C15" s="11" t="s">
        <v>553</v>
      </c>
    </row>
    <row r="16" spans="1:3" x14ac:dyDescent="0.55000000000000004">
      <c r="A16" s="12" t="s">
        <v>561</v>
      </c>
      <c r="B16" s="13">
        <f>$B$6-COUNTIFS('Accessibility Inventory'!$A$2:$A$1000,"&lt;&gt;",'Accessibility Inventory'!$I$2:$I$1000,"&lt;&gt;")</f>
        <v>0</v>
      </c>
      <c r="C16" s="14">
        <f t="shared" ref="C16:C25" si="1">IF($B$6=0,0,B16/$B$6)</f>
        <v>0</v>
      </c>
    </row>
    <row r="17" spans="1:3" x14ac:dyDescent="0.55000000000000004">
      <c r="A17" s="12" t="s">
        <v>562</v>
      </c>
      <c r="B17" s="13">
        <f>$B$6-COUNTIFS('Accessibility Inventory'!$A$2:$A$1000,"&lt;&gt;",'Accessibility Inventory'!$L$2:$L$1000,"&lt;&gt;")</f>
        <v>0</v>
      </c>
      <c r="C17" s="14">
        <f t="shared" si="1"/>
        <v>0</v>
      </c>
    </row>
    <row r="18" spans="1:3" x14ac:dyDescent="0.55000000000000004">
      <c r="A18" s="12" t="s">
        <v>563</v>
      </c>
      <c r="B18" s="13">
        <f>$B$6-COUNTIFS('Accessibility Inventory'!$A$2:$A$1000,"&lt;&gt;",'Accessibility Inventory'!$O$2:$O$1000,"&lt;&gt;")</f>
        <v>0</v>
      </c>
      <c r="C18" s="14">
        <f t="shared" si="1"/>
        <v>0</v>
      </c>
    </row>
    <row r="19" spans="1:3" x14ac:dyDescent="0.55000000000000004">
      <c r="A19" s="12" t="s">
        <v>564</v>
      </c>
      <c r="B19" s="13">
        <f>$B$6-COUNTIFS('Accessibility Inventory'!$A$2:$A$1000,"&lt;&gt;",'Accessibility Inventory'!$R$2:$R$1000,"&lt;&gt;")</f>
        <v>0</v>
      </c>
      <c r="C19" s="14">
        <f t="shared" si="1"/>
        <v>0</v>
      </c>
    </row>
    <row r="20" spans="1:3" x14ac:dyDescent="0.55000000000000004">
      <c r="A20" s="12" t="s">
        <v>565</v>
      </c>
      <c r="B20" s="13">
        <f>$B$6-COUNTIFS('Accessibility Inventory'!$A$2:$A$1000,"&lt;&gt;",'Accessibility Inventory'!$Q$2:$Q$1000,"&lt;&gt;")</f>
        <v>0</v>
      </c>
      <c r="C20" s="14">
        <f t="shared" si="1"/>
        <v>0</v>
      </c>
    </row>
    <row r="21" spans="1:3" x14ac:dyDescent="0.55000000000000004">
      <c r="A21" s="12" t="s">
        <v>566</v>
      </c>
      <c r="B21" s="13">
        <f>$B$6-COUNTIFS('Accessibility Inventory'!$A$2:$A$1000,"&lt;&gt;",'Accessibility Inventory'!$T$2:$T$1000,"&lt;&gt;")</f>
        <v>4</v>
      </c>
      <c r="C21" s="14">
        <f t="shared" si="1"/>
        <v>1</v>
      </c>
    </row>
    <row r="22" spans="1:3" x14ac:dyDescent="0.55000000000000004">
      <c r="A22" s="12" t="s">
        <v>567</v>
      </c>
      <c r="B22" s="13">
        <f>$B$6-COUNTIFS('Accessibility Inventory'!$A$2:$A$1000,"&lt;&gt;",'Accessibility Inventory'!$H$2:$H$1000,"&lt;&gt;")</f>
        <v>0</v>
      </c>
      <c r="C22" s="14">
        <f t="shared" si="1"/>
        <v>0</v>
      </c>
    </row>
    <row r="23" spans="1:3" x14ac:dyDescent="0.55000000000000004">
      <c r="A23" s="12" t="s">
        <v>568</v>
      </c>
      <c r="B23" s="13">
        <f>COUNTIF('Accessibility Inventory'!$Q$2:$Q$1000,"Not yet defined")</f>
        <v>0</v>
      </c>
      <c r="C23" s="14">
        <f t="shared" si="1"/>
        <v>0</v>
      </c>
    </row>
    <row r="24" spans="1:3" x14ac:dyDescent="0.55000000000000004">
      <c r="A24" s="12" t="s">
        <v>569</v>
      </c>
      <c r="B24" s="13">
        <f>SUMPRODUCT(('Accessibility Inventory'!$M$2:$M$1000&lt;&gt;"")*('Accessibility Inventory'!$M$2:$M$1000&lt;&gt;"None identified")*('Accessibility Inventory'!$M$2:$M$1000&lt;&gt;"Not applicable")*('Accessibility Inventory'!$N$2:$N$1000=""))</f>
        <v>1</v>
      </c>
      <c r="C24" s="14">
        <f t="shared" si="1"/>
        <v>0.25</v>
      </c>
    </row>
    <row r="25" spans="1:3" x14ac:dyDescent="0.55000000000000004">
      <c r="A25" s="12" t="s">
        <v>570</v>
      </c>
      <c r="B25" s="13">
        <f ca="1">COUNTIFS('Accessibility Inventory'!$T$2:$T$1000,"&lt;"&amp;TODAY(),'Accessibility Inventory'!$T$2:$T$1000,"&gt;0")</f>
        <v>0</v>
      </c>
      <c r="C25" s="14">
        <f t="shared" ca="1" si="1"/>
        <v>0</v>
      </c>
    </row>
    <row r="27" spans="1:3" x14ac:dyDescent="0.55000000000000004">
      <c r="A27" s="9" t="s">
        <v>571</v>
      </c>
    </row>
    <row r="28" spans="1:3" x14ac:dyDescent="0.55000000000000004">
      <c r="A28" s="15" t="s">
        <v>29</v>
      </c>
    </row>
    <row r="29" spans="1:3" x14ac:dyDescent="0.55000000000000004">
      <c r="A29" s="10" t="s">
        <v>572</v>
      </c>
      <c r="B29" s="11" t="s">
        <v>560</v>
      </c>
      <c r="C29" s="11" t="s">
        <v>553</v>
      </c>
    </row>
    <row r="30" spans="1:3" x14ac:dyDescent="0.55000000000000004">
      <c r="A30" s="16" t="str">
        <f>Lookups!F2</f>
        <v>In scope</v>
      </c>
      <c r="B30" s="13">
        <f>COUNTIF('Accessibility Inventory'!$H$2:$H$1000,A30)</f>
        <v>3</v>
      </c>
      <c r="C30" s="14">
        <f>IF($B$6=0,0,B30/$B$6)</f>
        <v>0.75</v>
      </c>
    </row>
    <row r="31" spans="1:3" x14ac:dyDescent="0.55000000000000004">
      <c r="A31" s="16" t="str">
        <f>Lookups!F3</f>
        <v>Out of scope — documented basis</v>
      </c>
      <c r="B31" s="13">
        <f>COUNTIF('Accessibility Inventory'!$H$2:$H$1000,A31)</f>
        <v>0</v>
      </c>
      <c r="C31" s="14">
        <f>IF($B$6=0,0,B31/$B$6)</f>
        <v>0</v>
      </c>
    </row>
    <row r="32" spans="1:3" x14ac:dyDescent="0.55000000000000004">
      <c r="A32" s="16" t="str">
        <f>Lookups!F4</f>
        <v>Pending assessment</v>
      </c>
      <c r="B32" s="13">
        <f>COUNTIF('Accessibility Inventory'!$H$2:$H$1000,A32)</f>
        <v>1</v>
      </c>
      <c r="C32" s="14">
        <f>IF($B$6=0,0,B32/$B$6)</f>
        <v>0.25</v>
      </c>
    </row>
    <row r="33" spans="1:3" x14ac:dyDescent="0.55000000000000004">
      <c r="A33" s="16" t="str">
        <f>Lookups!F5</f>
        <v>Partially in scope</v>
      </c>
      <c r="B33" s="13">
        <f>COUNTIF('Accessibility Inventory'!$H$2:$H$1000,A33)</f>
        <v>0</v>
      </c>
      <c r="C33" s="14">
        <f>IF($B$6=0,0,B33/$B$6)</f>
        <v>0</v>
      </c>
    </row>
    <row r="34" spans="1:3" x14ac:dyDescent="0.55000000000000004">
      <c r="A34" s="17" t="s">
        <v>573</v>
      </c>
      <c r="B34" s="18">
        <f>$B$6-SUM(B30:B33)</f>
        <v>0</v>
      </c>
      <c r="C34" s="19">
        <f>IF($B$6=0,0,B34/$B$6)</f>
        <v>0</v>
      </c>
    </row>
    <row r="37" spans="1:3" x14ac:dyDescent="0.55000000000000004">
      <c r="A37" s="15" t="s">
        <v>24</v>
      </c>
    </row>
    <row r="38" spans="1:3" x14ac:dyDescent="0.55000000000000004">
      <c r="A38" s="10" t="s">
        <v>572</v>
      </c>
      <c r="B38" s="11" t="s">
        <v>560</v>
      </c>
      <c r="C38" s="11" t="s">
        <v>553</v>
      </c>
    </row>
    <row r="39" spans="1:3" x14ac:dyDescent="0.55000000000000004">
      <c r="A39" s="16" t="str">
        <f>Lookups!A2</f>
        <v>Public website</v>
      </c>
      <c r="B39" s="13">
        <f>COUNTIF('Accessibility Inventory'!$C$2:$C$1000,A39)</f>
        <v>1</v>
      </c>
      <c r="C39" s="14">
        <f t="shared" ref="C39:C59" si="2">IF($B$6=0,0,B39/$B$6)</f>
        <v>0.25</v>
      </c>
    </row>
    <row r="40" spans="1:3" x14ac:dyDescent="0.55000000000000004">
      <c r="A40" s="16" t="str">
        <f>Lookups!A3</f>
        <v>Web application</v>
      </c>
      <c r="B40" s="13">
        <f>COUNTIF('Accessibility Inventory'!$C$2:$C$1000,A40)</f>
        <v>1</v>
      </c>
      <c r="C40" s="14">
        <f t="shared" si="2"/>
        <v>0.25</v>
      </c>
    </row>
    <row r="41" spans="1:3" x14ac:dyDescent="0.55000000000000004">
      <c r="A41" s="16" t="str">
        <f>Lookups!A4</f>
        <v>Native mobile app</v>
      </c>
      <c r="B41" s="13">
        <f>COUNTIF('Accessibility Inventory'!$C$2:$C$1000,A41)</f>
        <v>0</v>
      </c>
      <c r="C41" s="14">
        <f t="shared" si="2"/>
        <v>0</v>
      </c>
    </row>
    <row r="42" spans="1:3" x14ac:dyDescent="0.55000000000000004">
      <c r="A42" s="16" t="str">
        <f>Lookups!A5</f>
        <v>Hybrid mobile app</v>
      </c>
      <c r="B42" s="13">
        <f>COUNTIF('Accessibility Inventory'!$C$2:$C$1000,A42)</f>
        <v>0</v>
      </c>
      <c r="C42" s="14">
        <f t="shared" si="2"/>
        <v>0</v>
      </c>
    </row>
    <row r="43" spans="1:3" x14ac:dyDescent="0.55000000000000004">
      <c r="A43" s="16" t="str">
        <f>Lookups!A6</f>
        <v>Desktop application</v>
      </c>
      <c r="B43" s="13">
        <f>COUNTIF('Accessibility Inventory'!$C$2:$C$1000,A43)</f>
        <v>0</v>
      </c>
      <c r="C43" s="14">
        <f t="shared" si="2"/>
        <v>0</v>
      </c>
    </row>
    <row r="44" spans="1:3" x14ac:dyDescent="0.55000000000000004">
      <c r="A44" s="16" t="str">
        <f>Lookups!A7</f>
        <v>Document/PDF</v>
      </c>
      <c r="B44" s="13">
        <f>COUNTIF('Accessibility Inventory'!$C$2:$C$1000,A44)</f>
        <v>0</v>
      </c>
      <c r="C44" s="14">
        <f t="shared" si="2"/>
        <v>0</v>
      </c>
    </row>
    <row r="45" spans="1:3" x14ac:dyDescent="0.55000000000000004">
      <c r="A45" s="16" t="str">
        <f>Lookups!A8</f>
        <v>Email/template</v>
      </c>
      <c r="B45" s="13">
        <f>COUNTIF('Accessibility Inventory'!$C$2:$C$1000,A45)</f>
        <v>0</v>
      </c>
      <c r="C45" s="14">
        <f t="shared" si="2"/>
        <v>0</v>
      </c>
    </row>
    <row r="46" spans="1:3" x14ac:dyDescent="0.55000000000000004">
      <c r="A46" s="16" t="str">
        <f>Lookups!A9</f>
        <v>Video/media</v>
      </c>
      <c r="B46" s="13">
        <f>COUNTIF('Accessibility Inventory'!$C$2:$C$1000,A46)</f>
        <v>0</v>
      </c>
      <c r="C46" s="14">
        <f t="shared" si="2"/>
        <v>0</v>
      </c>
    </row>
    <row r="47" spans="1:3" x14ac:dyDescent="0.55000000000000004">
      <c r="A47" s="16" t="str">
        <f>Lookups!A10</f>
        <v>Design system/component library</v>
      </c>
      <c r="B47" s="13">
        <f>COUNTIF('Accessibility Inventory'!$C$2:$C$1000,A47)</f>
        <v>0</v>
      </c>
      <c r="C47" s="14">
        <f t="shared" si="2"/>
        <v>0</v>
      </c>
    </row>
    <row r="48" spans="1:3" x14ac:dyDescent="0.55000000000000004">
      <c r="A48" s="16" t="str">
        <f>Lookups!A11</f>
        <v>Third-party service/widget</v>
      </c>
      <c r="B48" s="13">
        <f>COUNTIF('Accessibility Inventory'!$C$2:$C$1000,A48)</f>
        <v>0</v>
      </c>
      <c r="C48" s="14">
        <f t="shared" si="2"/>
        <v>0</v>
      </c>
    </row>
    <row r="49" spans="1:3" x14ac:dyDescent="0.55000000000000004">
      <c r="A49" s="16" t="str">
        <f>Lookups!A12</f>
        <v>Authentication/identity</v>
      </c>
      <c r="B49" s="13">
        <f>COUNTIF('Accessibility Inventory'!$C$2:$C$1000,A49)</f>
        <v>0</v>
      </c>
      <c r="C49" s="14">
        <f t="shared" si="2"/>
        <v>0</v>
      </c>
    </row>
    <row r="50" spans="1:3" x14ac:dyDescent="0.55000000000000004">
      <c r="A50" s="16" t="str">
        <f>Lookups!A13</f>
        <v>Payment/checkout</v>
      </c>
      <c r="B50" s="13">
        <f>COUNTIF('Accessibility Inventory'!$C$2:$C$1000,A50)</f>
        <v>1</v>
      </c>
      <c r="C50" s="14">
        <f t="shared" si="2"/>
        <v>0.25</v>
      </c>
    </row>
    <row r="51" spans="1:3" x14ac:dyDescent="0.55000000000000004">
      <c r="A51" s="16" t="str">
        <f>Lookups!A14</f>
        <v>Kiosk/self-service terminal</v>
      </c>
      <c r="B51" s="13">
        <f>COUNTIF('Accessibility Inventory'!$C$2:$C$1000,A51)</f>
        <v>0</v>
      </c>
      <c r="C51" s="14">
        <f t="shared" si="2"/>
        <v>0</v>
      </c>
    </row>
    <row r="52" spans="1:3" x14ac:dyDescent="0.55000000000000004">
      <c r="A52" s="16" t="str">
        <f>Lookups!A15</f>
        <v>Internal tool</v>
      </c>
      <c r="B52" s="13">
        <f>COUNTIF('Accessibility Inventory'!$C$2:$C$1000,A52)</f>
        <v>1</v>
      </c>
      <c r="C52" s="14">
        <f t="shared" si="2"/>
        <v>0.25</v>
      </c>
    </row>
    <row r="53" spans="1:3" x14ac:dyDescent="0.55000000000000004">
      <c r="A53" s="16" t="str">
        <f>Lookups!A16</f>
        <v>Intranet/extranet</v>
      </c>
      <c r="B53" s="13">
        <f>COUNTIF('Accessibility Inventory'!$C$2:$C$1000,A53)</f>
        <v>0</v>
      </c>
      <c r="C53" s="14">
        <f t="shared" si="2"/>
        <v>0</v>
      </c>
    </row>
    <row r="54" spans="1:3" x14ac:dyDescent="0.55000000000000004">
      <c r="A54" s="16" t="str">
        <f>Lookups!A17</f>
        <v>SaaS platform</v>
      </c>
      <c r="B54" s="13">
        <f>COUNTIF('Accessibility Inventory'!$C$2:$C$1000,A54)</f>
        <v>0</v>
      </c>
      <c r="C54" s="14">
        <f t="shared" si="2"/>
        <v>0</v>
      </c>
    </row>
    <row r="55" spans="1:3" x14ac:dyDescent="0.55000000000000004">
      <c r="A55" s="16" t="str">
        <f>Lookups!A18</f>
        <v>Hardware/ICT product</v>
      </c>
      <c r="B55" s="13">
        <f>COUNTIF('Accessibility Inventory'!$C$2:$C$1000,A55)</f>
        <v>0</v>
      </c>
      <c r="C55" s="14">
        <f t="shared" si="2"/>
        <v>0</v>
      </c>
    </row>
    <row r="56" spans="1:3" x14ac:dyDescent="0.55000000000000004">
      <c r="A56" s="16" t="str">
        <f>Lookups!A19</f>
        <v>API/developer portal</v>
      </c>
      <c r="B56" s="13">
        <f>COUNTIF('Accessibility Inventory'!$C$2:$C$1000,A56)</f>
        <v>0</v>
      </c>
      <c r="C56" s="14">
        <f t="shared" si="2"/>
        <v>0</v>
      </c>
    </row>
    <row r="57" spans="1:3" x14ac:dyDescent="0.55000000000000004">
      <c r="A57" s="16" t="str">
        <f>Lookups!A20</f>
        <v>AI/agent interface</v>
      </c>
      <c r="B57" s="13">
        <f>COUNTIF('Accessibility Inventory'!$C$2:$C$1000,A57)</f>
        <v>0</v>
      </c>
      <c r="C57" s="14">
        <f t="shared" si="2"/>
        <v>0</v>
      </c>
    </row>
    <row r="58" spans="1:3" x14ac:dyDescent="0.55000000000000004">
      <c r="A58" s="16" t="str">
        <f>Lookups!A21</f>
        <v>Other</v>
      </c>
      <c r="B58" s="13">
        <f>COUNTIF('Accessibility Inventory'!$C$2:$C$1000,A58)</f>
        <v>0</v>
      </c>
      <c r="C58" s="14">
        <f t="shared" si="2"/>
        <v>0</v>
      </c>
    </row>
    <row r="59" spans="1:3" x14ac:dyDescent="0.55000000000000004">
      <c r="A59" s="17" t="s">
        <v>573</v>
      </c>
      <c r="B59" s="18">
        <f>$B$6-SUM(B39:B58)</f>
        <v>0</v>
      </c>
      <c r="C59" s="19">
        <f t="shared" si="2"/>
        <v>0</v>
      </c>
    </row>
    <row r="62" spans="1:3" x14ac:dyDescent="0.55000000000000004">
      <c r="A62" s="15" t="s">
        <v>39</v>
      </c>
    </row>
    <row r="63" spans="1:3" x14ac:dyDescent="0.55000000000000004">
      <c r="A63" s="10" t="s">
        <v>572</v>
      </c>
      <c r="B63" s="11" t="s">
        <v>560</v>
      </c>
      <c r="C63" s="11" t="s">
        <v>553</v>
      </c>
    </row>
    <row r="64" spans="1:3" x14ac:dyDescent="0.55000000000000004">
      <c r="A64" s="16" t="str">
        <f>Lookups!K2</f>
        <v>Critical — essential service / core journey</v>
      </c>
      <c r="B64" s="13">
        <f>COUNTIF('Accessibility Inventory'!$R$2:$R$1000,A64)</f>
        <v>3</v>
      </c>
      <c r="C64" s="14">
        <f t="shared" ref="C64:C69" si="3">IF($B$6=0,0,B64/$B$6)</f>
        <v>0.75</v>
      </c>
    </row>
    <row r="65" spans="1:3" x14ac:dyDescent="0.55000000000000004">
      <c r="A65" s="16" t="str">
        <f>Lookups!K3</f>
        <v>High — frequent or revenue-impacting</v>
      </c>
      <c r="B65" s="13">
        <f>COUNTIF('Accessibility Inventory'!$R$2:$R$1000,A65)</f>
        <v>1</v>
      </c>
      <c r="C65" s="14">
        <f t="shared" si="3"/>
        <v>0.25</v>
      </c>
    </row>
    <row r="66" spans="1:3" x14ac:dyDescent="0.55000000000000004">
      <c r="A66" s="16" t="str">
        <f>Lookups!K4</f>
        <v>Medium — important but workaround exists</v>
      </c>
      <c r="B66" s="13">
        <f>COUNTIF('Accessibility Inventory'!$R$2:$R$1000,A66)</f>
        <v>0</v>
      </c>
      <c r="C66" s="14">
        <f t="shared" si="3"/>
        <v>0</v>
      </c>
    </row>
    <row r="67" spans="1:3" x14ac:dyDescent="0.55000000000000004">
      <c r="A67" s="16" t="str">
        <f>Lookups!K5</f>
        <v>Low — ancillary</v>
      </c>
      <c r="B67" s="13">
        <f>COUNTIF('Accessibility Inventory'!$R$2:$R$1000,A67)</f>
        <v>0</v>
      </c>
      <c r="C67" s="14">
        <f t="shared" si="3"/>
        <v>0</v>
      </c>
    </row>
    <row r="68" spans="1:3" x14ac:dyDescent="0.55000000000000004">
      <c r="A68" s="16" t="str">
        <f>Lookups!K6</f>
        <v>Unknown / assess</v>
      </c>
      <c r="B68" s="13">
        <f>COUNTIF('Accessibility Inventory'!$R$2:$R$1000,A68)</f>
        <v>0</v>
      </c>
      <c r="C68" s="14">
        <f t="shared" si="3"/>
        <v>0</v>
      </c>
    </row>
    <row r="69" spans="1:3" x14ac:dyDescent="0.55000000000000004">
      <c r="A69" s="17" t="s">
        <v>573</v>
      </c>
      <c r="B69" s="18">
        <f>$B$6-SUM(B64:B68)</f>
        <v>0</v>
      </c>
      <c r="C69" s="19">
        <f t="shared" si="3"/>
        <v>0</v>
      </c>
    </row>
    <row r="72" spans="1:3" x14ac:dyDescent="0.55000000000000004">
      <c r="A72" s="15" t="s">
        <v>28</v>
      </c>
    </row>
    <row r="73" spans="1:3" x14ac:dyDescent="0.55000000000000004">
      <c r="A73" s="10" t="s">
        <v>572</v>
      </c>
      <c r="B73" s="11" t="s">
        <v>560</v>
      </c>
      <c r="C73" s="11" t="s">
        <v>553</v>
      </c>
    </row>
    <row r="74" spans="1:3" x14ac:dyDescent="0.55000000000000004">
      <c r="A74" s="16" t="str">
        <f>Lookups!E2</f>
        <v>New / planned</v>
      </c>
      <c r="B74" s="13">
        <f>COUNTIF('Accessibility Inventory'!$G$2:$G$1000,A74)</f>
        <v>0</v>
      </c>
      <c r="C74" s="14">
        <f t="shared" ref="C74:C85" si="4">IF($B$6=0,0,B74/$B$6)</f>
        <v>0</v>
      </c>
    </row>
    <row r="75" spans="1:3" x14ac:dyDescent="0.55000000000000004">
      <c r="A75" s="16" t="str">
        <f>Lookups!E3</f>
        <v>In design</v>
      </c>
      <c r="B75" s="13">
        <f>COUNTIF('Accessibility Inventory'!$G$2:$G$1000,A75)</f>
        <v>0</v>
      </c>
      <c r="C75" s="14">
        <f t="shared" si="4"/>
        <v>0</v>
      </c>
    </row>
    <row r="76" spans="1:3" x14ac:dyDescent="0.55000000000000004">
      <c r="A76" s="16" t="str">
        <f>Lookups!E4</f>
        <v>In development</v>
      </c>
      <c r="B76" s="13">
        <f>COUNTIF('Accessibility Inventory'!$G$2:$G$1000,A76)</f>
        <v>0</v>
      </c>
      <c r="C76" s="14">
        <f t="shared" si="4"/>
        <v>0</v>
      </c>
    </row>
    <row r="77" spans="1:3" x14ac:dyDescent="0.55000000000000004">
      <c r="A77" s="16" t="str">
        <f>Lookups!E5</f>
        <v>Pre-release</v>
      </c>
      <c r="B77" s="13">
        <f>COUNTIF('Accessibility Inventory'!$G$2:$G$1000,A77)</f>
        <v>0</v>
      </c>
      <c r="C77" s="14">
        <f t="shared" si="4"/>
        <v>0</v>
      </c>
    </row>
    <row r="78" spans="1:3" x14ac:dyDescent="0.55000000000000004">
      <c r="A78" s="16" t="str">
        <f>Lookups!E6</f>
        <v>Pilot / beta</v>
      </c>
      <c r="B78" s="13">
        <f>COUNTIF('Accessibility Inventory'!$G$2:$G$1000,A78)</f>
        <v>0</v>
      </c>
      <c r="C78" s="14">
        <f t="shared" si="4"/>
        <v>0</v>
      </c>
    </row>
    <row r="79" spans="1:3" x14ac:dyDescent="0.55000000000000004">
      <c r="A79" s="16" t="str">
        <f>Lookups!E7</f>
        <v>Live / maintained</v>
      </c>
      <c r="B79" s="13">
        <f>COUNTIF('Accessibility Inventory'!$G$2:$G$1000,A79)</f>
        <v>3</v>
      </c>
      <c r="C79" s="14">
        <f t="shared" si="4"/>
        <v>0.75</v>
      </c>
    </row>
    <row r="80" spans="1:3" x14ac:dyDescent="0.55000000000000004">
      <c r="A80" s="16" t="str">
        <f>Lookups!E8</f>
        <v>Legacy / maintained</v>
      </c>
      <c r="B80" s="13">
        <f>COUNTIF('Accessibility Inventory'!$G$2:$G$1000,A80)</f>
        <v>0</v>
      </c>
      <c r="C80" s="14">
        <f t="shared" si="4"/>
        <v>0</v>
      </c>
    </row>
    <row r="81" spans="1:3" x14ac:dyDescent="0.55000000000000004">
      <c r="A81" s="16" t="str">
        <f>Lookups!E9</f>
        <v>Legacy / frozen</v>
      </c>
      <c r="B81" s="13">
        <f>COUNTIF('Accessibility Inventory'!$G$2:$G$1000,A81)</f>
        <v>0</v>
      </c>
      <c r="C81" s="14">
        <f t="shared" si="4"/>
        <v>0</v>
      </c>
    </row>
    <row r="82" spans="1:3" x14ac:dyDescent="0.55000000000000004">
      <c r="A82" s="16" t="str">
        <f>Lookups!E10</f>
        <v>Being replaced</v>
      </c>
      <c r="B82" s="13">
        <f>COUNTIF('Accessibility Inventory'!$G$2:$G$1000,A82)</f>
        <v>0</v>
      </c>
      <c r="C82" s="14">
        <f t="shared" si="4"/>
        <v>0</v>
      </c>
    </row>
    <row r="83" spans="1:3" x14ac:dyDescent="0.55000000000000004">
      <c r="A83" s="16" t="str">
        <f>Lookups!E11</f>
        <v>Retiring / sunset</v>
      </c>
      <c r="B83" s="13">
        <f>COUNTIF('Accessibility Inventory'!$G$2:$G$1000,A83)</f>
        <v>0</v>
      </c>
      <c r="C83" s="14">
        <f t="shared" si="4"/>
        <v>0</v>
      </c>
    </row>
    <row r="84" spans="1:3" x14ac:dyDescent="0.55000000000000004">
      <c r="A84" s="16" t="str">
        <f>Lookups!E12</f>
        <v>Procured / vendor-hosted</v>
      </c>
      <c r="B84" s="13">
        <f>COUNTIF('Accessibility Inventory'!$G$2:$G$1000,A84)</f>
        <v>1</v>
      </c>
      <c r="C84" s="14">
        <f t="shared" si="4"/>
        <v>0.25</v>
      </c>
    </row>
    <row r="85" spans="1:3" x14ac:dyDescent="0.55000000000000004">
      <c r="A85" s="17" t="s">
        <v>573</v>
      </c>
      <c r="B85" s="18">
        <f>$B$6-SUM(B74:B84)</f>
        <v>0</v>
      </c>
      <c r="C85" s="19">
        <f t="shared" si="4"/>
        <v>0</v>
      </c>
    </row>
    <row r="88" spans="1:3" x14ac:dyDescent="0.55000000000000004">
      <c r="A88" s="15" t="s">
        <v>33</v>
      </c>
    </row>
    <row r="89" spans="1:3" x14ac:dyDescent="0.55000000000000004">
      <c r="A89" s="10" t="s">
        <v>572</v>
      </c>
      <c r="B89" s="11" t="s">
        <v>560</v>
      </c>
      <c r="C89" s="11" t="s">
        <v>553</v>
      </c>
    </row>
    <row r="90" spans="1:3" x14ac:dyDescent="0.55000000000000004">
      <c r="A90" s="16" t="str">
        <f>Lookups!G2</f>
        <v>WCAG 2.2 Level AA</v>
      </c>
      <c r="B90" s="13">
        <f>COUNTIF('Accessibility Inventory'!$L$2:$L$1000,A90)</f>
        <v>2</v>
      </c>
      <c r="C90" s="14">
        <f t="shared" ref="C90:C106" si="5">IF($B$6=0,0,B90/$B$6)</f>
        <v>0.5</v>
      </c>
    </row>
    <row r="91" spans="1:3" x14ac:dyDescent="0.55000000000000004">
      <c r="A91" s="16" t="str">
        <f>Lookups!G3</f>
        <v>WCAG 2.1 Level AA</v>
      </c>
      <c r="B91" s="13">
        <f>COUNTIF('Accessibility Inventory'!$L$2:$L$1000,A91)</f>
        <v>1</v>
      </c>
      <c r="C91" s="14">
        <f t="shared" si="5"/>
        <v>0.25</v>
      </c>
    </row>
    <row r="92" spans="1:3" x14ac:dyDescent="0.55000000000000004">
      <c r="A92" s="16" t="str">
        <f>Lookups!G4</f>
        <v>WCAG 2.0 Level AA</v>
      </c>
      <c r="B92" s="13">
        <f>COUNTIF('Accessibility Inventory'!$L$2:$L$1000,A92)</f>
        <v>0</v>
      </c>
      <c r="C92" s="14">
        <f t="shared" si="5"/>
        <v>0</v>
      </c>
    </row>
    <row r="93" spans="1:3" x14ac:dyDescent="0.55000000000000004">
      <c r="A93" s="16" t="str">
        <f>Lookups!G5</f>
        <v>EN 301 549 (current applicable version)</v>
      </c>
      <c r="B93" s="13">
        <f>COUNTIF('Accessibility Inventory'!$L$2:$L$1000,A93)</f>
        <v>0</v>
      </c>
      <c r="C93" s="14">
        <f t="shared" si="5"/>
        <v>0</v>
      </c>
    </row>
    <row r="94" spans="1:3" x14ac:dyDescent="0.55000000000000004">
      <c r="A94" s="16" t="str">
        <f>Lookups!G6</f>
        <v>CAN/ASC-EN 301 549:2024</v>
      </c>
      <c r="B94" s="13">
        <f>COUNTIF('Accessibility Inventory'!$L$2:$L$1000,A94)</f>
        <v>0</v>
      </c>
      <c r="C94" s="14">
        <f t="shared" si="5"/>
        <v>0</v>
      </c>
    </row>
    <row r="95" spans="1:3" x14ac:dyDescent="0.55000000000000004">
      <c r="A95" s="16" t="str">
        <f>Lookups!G7</f>
        <v>Section 508 Revised Standards</v>
      </c>
      <c r="B95" s="13">
        <f>COUNTIF('Accessibility Inventory'!$L$2:$L$1000,A95)</f>
        <v>0</v>
      </c>
      <c r="C95" s="14">
        <f t="shared" si="5"/>
        <v>0</v>
      </c>
    </row>
    <row r="96" spans="1:3" x14ac:dyDescent="0.55000000000000004">
      <c r="A96" s="16" t="str">
        <f>Lookups!G8</f>
        <v>RGAA (current version)</v>
      </c>
      <c r="B96" s="13">
        <f>COUNTIF('Accessibility Inventory'!$L$2:$L$1000,A96)</f>
        <v>1</v>
      </c>
      <c r="C96" s="14">
        <f t="shared" si="5"/>
        <v>0.25</v>
      </c>
    </row>
    <row r="97" spans="1:3" x14ac:dyDescent="0.55000000000000004">
      <c r="A97" s="16" t="str">
        <f>Lookups!G9</f>
        <v>BITV 2.0</v>
      </c>
      <c r="B97" s="13">
        <f>COUNTIF('Accessibility Inventory'!$L$2:$L$1000,A97)</f>
        <v>0</v>
      </c>
      <c r="C97" s="14">
        <f t="shared" si="5"/>
        <v>0</v>
      </c>
    </row>
    <row r="98" spans="1:3" x14ac:dyDescent="0.55000000000000004">
      <c r="A98" s="16" t="str">
        <f>Lookups!G10</f>
        <v>JIS X 8341-3:2016</v>
      </c>
      <c r="B98" s="13">
        <f>COUNTIF('Accessibility Inventory'!$L$2:$L$1000,A98)</f>
        <v>0</v>
      </c>
      <c r="C98" s="14">
        <f t="shared" si="5"/>
        <v>0</v>
      </c>
    </row>
    <row r="99" spans="1:3" x14ac:dyDescent="0.55000000000000004">
      <c r="A99" s="16" t="str">
        <f>Lookups!G11</f>
        <v>KS 2952 (Kenya ICT Accessibility Standard)</v>
      </c>
      <c r="B99" s="13">
        <f>COUNTIF('Accessibility Inventory'!$L$2:$L$1000,A99)</f>
        <v>0</v>
      </c>
      <c r="C99" s="14">
        <f t="shared" si="5"/>
        <v>0</v>
      </c>
    </row>
    <row r="100" spans="1:3" x14ac:dyDescent="0.55000000000000004">
      <c r="A100" s="16" t="str">
        <f>Lookups!G12</f>
        <v>AODA / WCAG 2.0 AA</v>
      </c>
      <c r="B100" s="13">
        <f>COUNTIF('Accessibility Inventory'!$L$2:$L$1000,A100)</f>
        <v>0</v>
      </c>
      <c r="C100" s="14">
        <f t="shared" si="5"/>
        <v>0</v>
      </c>
    </row>
    <row r="101" spans="1:3" x14ac:dyDescent="0.55000000000000004">
      <c r="A101" s="16" t="str">
        <f>Lookups!G13</f>
        <v>NZ Government Web Accessibility Standard</v>
      </c>
      <c r="B101" s="13">
        <f>COUNTIF('Accessibility Inventory'!$L$2:$L$1000,A101)</f>
        <v>0</v>
      </c>
      <c r="C101" s="14">
        <f t="shared" si="5"/>
        <v>0</v>
      </c>
    </row>
    <row r="102" spans="1:3" x14ac:dyDescent="0.55000000000000004">
      <c r="A102" s="16" t="str">
        <f>Lookups!G14</f>
        <v>Internal accessibility standard</v>
      </c>
      <c r="B102" s="13">
        <f>COUNTIF('Accessibility Inventory'!$L$2:$L$1000,A102)</f>
        <v>0</v>
      </c>
      <c r="C102" s="14">
        <f t="shared" si="5"/>
        <v>0</v>
      </c>
    </row>
    <row r="103" spans="1:3" x14ac:dyDescent="0.55000000000000004">
      <c r="A103" s="16" t="str">
        <f>Lookups!G15</f>
        <v>Contractual/vendor accessibility standard</v>
      </c>
      <c r="B103" s="13">
        <f>COUNTIF('Accessibility Inventory'!$L$2:$L$1000,A103)</f>
        <v>0</v>
      </c>
      <c r="C103" s="14">
        <f t="shared" si="5"/>
        <v>0</v>
      </c>
    </row>
    <row r="104" spans="1:3" x14ac:dyDescent="0.55000000000000004">
      <c r="A104" s="16" t="str">
        <f>Lookups!G16</f>
        <v>Platform accessibility guidance</v>
      </c>
      <c r="B104" s="13">
        <f>COUNTIF('Accessibility Inventory'!$L$2:$L$1000,A104)</f>
        <v>0</v>
      </c>
      <c r="C104" s="14">
        <f t="shared" si="5"/>
        <v>0</v>
      </c>
    </row>
    <row r="105" spans="1:3" x14ac:dyDescent="0.55000000000000004">
      <c r="A105" s="16" t="str">
        <f>Lookups!G17</f>
        <v>To be determined</v>
      </c>
      <c r="B105" s="13">
        <f>COUNTIF('Accessibility Inventory'!$L$2:$L$1000,A105)</f>
        <v>0</v>
      </c>
      <c r="C105" s="14">
        <f t="shared" si="5"/>
        <v>0</v>
      </c>
    </row>
    <row r="106" spans="1:3" x14ac:dyDescent="0.55000000000000004">
      <c r="A106" s="17" t="s">
        <v>573</v>
      </c>
      <c r="B106" s="18">
        <f>$B$6-SUM(B90:B105)</f>
        <v>0</v>
      </c>
      <c r="C106" s="19">
        <f t="shared" si="5"/>
        <v>0</v>
      </c>
    </row>
    <row r="109" spans="1:3" x14ac:dyDescent="0.55000000000000004">
      <c r="A109" s="15" t="s">
        <v>34</v>
      </c>
    </row>
    <row r="110" spans="1:3" x14ac:dyDescent="0.55000000000000004">
      <c r="A110" s="10" t="s">
        <v>572</v>
      </c>
      <c r="B110" s="11" t="s">
        <v>560</v>
      </c>
      <c r="C110" s="11" t="s">
        <v>553</v>
      </c>
    </row>
    <row r="111" spans="1:3" x14ac:dyDescent="0.55000000000000004">
      <c r="A111" s="16" t="str">
        <f>Lookups!H2</f>
        <v>None identified</v>
      </c>
      <c r="B111" s="13">
        <f>COUNTIF('Accessibility Inventory'!$M$2:$M$1000,A111)</f>
        <v>1</v>
      </c>
      <c r="C111" s="14">
        <f t="shared" ref="C111:C123" si="6">IF($B$6=0,0,B111/$B$6)</f>
        <v>0.25</v>
      </c>
    </row>
    <row r="112" spans="1:3" x14ac:dyDescent="0.55000000000000004">
      <c r="A112" s="16" t="str">
        <f>Lookups!H3</f>
        <v>Potential exemption / exception — legal review</v>
      </c>
      <c r="B112" s="13">
        <f>COUNTIF('Accessibility Inventory'!$M$2:$M$1000,A112)</f>
        <v>2</v>
      </c>
      <c r="C112" s="14">
        <f t="shared" si="6"/>
        <v>0.5</v>
      </c>
    </row>
    <row r="113" spans="1:3" x14ac:dyDescent="0.55000000000000004">
      <c r="A113" s="16" t="str">
        <f>Lookups!H4</f>
        <v>Exemption / exception applies — documented</v>
      </c>
      <c r="B113" s="13">
        <f>COUNTIF('Accessibility Inventory'!$M$2:$M$1000,A113)</f>
        <v>0</v>
      </c>
      <c r="C113" s="14">
        <f t="shared" si="6"/>
        <v>0</v>
      </c>
    </row>
    <row r="114" spans="1:3" x14ac:dyDescent="0.55000000000000004">
      <c r="A114" s="16" t="str">
        <f>Lookups!H5</f>
        <v>Disproportionate / undue burden claimed</v>
      </c>
      <c r="B114" s="13">
        <f>COUNTIF('Accessibility Inventory'!$M$2:$M$1000,A114)</f>
        <v>0</v>
      </c>
      <c r="C114" s="14">
        <f t="shared" si="6"/>
        <v>0</v>
      </c>
    </row>
    <row r="115" spans="1:3" x14ac:dyDescent="0.55000000000000004">
      <c r="A115" s="16" t="str">
        <f>Lookups!H6</f>
        <v>Fundamental alteration claimed</v>
      </c>
      <c r="B115" s="13">
        <f>COUNTIF('Accessibility Inventory'!$M$2:$M$1000,A115)</f>
        <v>0</v>
      </c>
      <c r="C115" s="14">
        <f t="shared" si="6"/>
        <v>0</v>
      </c>
    </row>
    <row r="116" spans="1:3" x14ac:dyDescent="0.55000000000000004">
      <c r="A116" s="16" t="str">
        <f>Lookups!H7</f>
        <v>Legacy / archived content exclusion</v>
      </c>
      <c r="B116" s="13">
        <f>COUNTIF('Accessibility Inventory'!$M$2:$M$1000,A116)</f>
        <v>0</v>
      </c>
      <c r="C116" s="14">
        <f t="shared" si="6"/>
        <v>0</v>
      </c>
    </row>
    <row r="117" spans="1:3" x14ac:dyDescent="0.55000000000000004">
      <c r="A117" s="16" t="str">
        <f>Lookups!H8</f>
        <v>Microenterprise / small-provider exemption</v>
      </c>
      <c r="B117" s="13">
        <f>COUNTIF('Accessibility Inventory'!$M$2:$M$1000,A117)</f>
        <v>0</v>
      </c>
      <c r="C117" s="14">
        <f t="shared" si="6"/>
        <v>0</v>
      </c>
    </row>
    <row r="118" spans="1:3" x14ac:dyDescent="0.55000000000000004">
      <c r="A118" s="16" t="str">
        <f>Lookups!H9</f>
        <v>Third-party content exception</v>
      </c>
      <c r="B118" s="13">
        <f>COUNTIF('Accessibility Inventory'!$M$2:$M$1000,A118)</f>
        <v>0</v>
      </c>
      <c r="C118" s="14">
        <f t="shared" si="6"/>
        <v>0</v>
      </c>
    </row>
    <row r="119" spans="1:3" x14ac:dyDescent="0.55000000000000004">
      <c r="A119" s="16" t="str">
        <f>Lookups!H10</f>
        <v>Alternative accessible format / method used</v>
      </c>
      <c r="B119" s="13">
        <f>COUNTIF('Accessibility Inventory'!$M$2:$M$1000,A119)</f>
        <v>0</v>
      </c>
      <c r="C119" s="14">
        <f t="shared" si="6"/>
        <v>0</v>
      </c>
    </row>
    <row r="120" spans="1:3" x14ac:dyDescent="0.55000000000000004">
      <c r="A120" s="16" t="str">
        <f>Lookups!H11</f>
        <v>Temporary exception with remediation date</v>
      </c>
      <c r="B120" s="13">
        <f>COUNTIF('Accessibility Inventory'!$M$2:$M$1000,A120)</f>
        <v>0</v>
      </c>
      <c r="C120" s="14">
        <f t="shared" si="6"/>
        <v>0</v>
      </c>
    </row>
    <row r="121" spans="1:3" x14ac:dyDescent="0.55000000000000004">
      <c r="A121" s="16" t="str">
        <f>Lookups!H12</f>
        <v>Not applicable</v>
      </c>
      <c r="B121" s="13">
        <f>COUNTIF('Accessibility Inventory'!$M$2:$M$1000,A121)</f>
        <v>0</v>
      </c>
      <c r="C121" s="14">
        <f t="shared" si="6"/>
        <v>0</v>
      </c>
    </row>
    <row r="122" spans="1:3" x14ac:dyDescent="0.55000000000000004">
      <c r="A122" s="16" t="str">
        <f>Lookups!H13</f>
        <v>Unknown / pending review</v>
      </c>
      <c r="B122" s="13">
        <f>COUNTIF('Accessibility Inventory'!$M$2:$M$1000,A122)</f>
        <v>1</v>
      </c>
      <c r="C122" s="14">
        <f t="shared" si="6"/>
        <v>0.25</v>
      </c>
    </row>
    <row r="123" spans="1:3" x14ac:dyDescent="0.55000000000000004">
      <c r="A123" s="17" t="s">
        <v>573</v>
      </c>
      <c r="B123" s="18">
        <f>$B$6-SUM(B111:B122)</f>
        <v>0</v>
      </c>
      <c r="C123" s="19">
        <f t="shared" si="6"/>
        <v>0</v>
      </c>
    </row>
    <row r="126" spans="1:3" x14ac:dyDescent="0.55000000000000004">
      <c r="A126" s="15" t="s">
        <v>38</v>
      </c>
    </row>
    <row r="127" spans="1:3" x14ac:dyDescent="0.55000000000000004">
      <c r="A127" s="10" t="s">
        <v>572</v>
      </c>
      <c r="B127" s="11" t="s">
        <v>560</v>
      </c>
      <c r="C127" s="11" t="s">
        <v>553</v>
      </c>
    </row>
    <row r="128" spans="1:3" x14ac:dyDescent="0.55000000000000004">
      <c r="A128" s="16" t="str">
        <f>Lookups!J2</f>
        <v>Automated accessibility tests</v>
      </c>
      <c r="B128" s="13">
        <f>COUNTIF('Accessibility Inventory'!$Q$2:$Q$1000,A128)</f>
        <v>0</v>
      </c>
      <c r="C128" s="14">
        <f t="shared" ref="C128:C145" si="7">IF($B$6=0,0,B128/$B$6)</f>
        <v>0</v>
      </c>
    </row>
    <row r="129" spans="1:3" x14ac:dyDescent="0.55000000000000004">
      <c r="A129" s="16" t="str">
        <f>Lookups!J3</f>
        <v>Manual keyboard testing</v>
      </c>
      <c r="B129" s="13">
        <f>COUNTIF('Accessibility Inventory'!$Q$2:$Q$1000,A129)</f>
        <v>0</v>
      </c>
      <c r="C129" s="14">
        <f t="shared" si="7"/>
        <v>0</v>
      </c>
    </row>
    <row r="130" spans="1:3" x14ac:dyDescent="0.55000000000000004">
      <c r="A130" s="16" t="str">
        <f>Lookups!J4</f>
        <v>Screen reader testing</v>
      </c>
      <c r="B130" s="13">
        <f>COUNTIF('Accessibility Inventory'!$Q$2:$Q$1000,A130)</f>
        <v>0</v>
      </c>
      <c r="C130" s="14">
        <f t="shared" si="7"/>
        <v>0</v>
      </c>
    </row>
    <row r="131" spans="1:3" x14ac:dyDescent="0.55000000000000004">
      <c r="A131" s="16" t="str">
        <f>Lookups!J5</f>
        <v>Zoom / reflow testing</v>
      </c>
      <c r="B131" s="13">
        <f>COUNTIF('Accessibility Inventory'!$Q$2:$Q$1000,A131)</f>
        <v>0</v>
      </c>
      <c r="C131" s="14">
        <f t="shared" si="7"/>
        <v>0</v>
      </c>
    </row>
    <row r="132" spans="1:3" x14ac:dyDescent="0.55000000000000004">
      <c r="A132" s="16" t="str">
        <f>Lookups!J6</f>
        <v>Colour / contrast review</v>
      </c>
      <c r="B132" s="13">
        <f>COUNTIF('Accessibility Inventory'!$Q$2:$Q$1000,A132)</f>
        <v>0</v>
      </c>
      <c r="C132" s="14">
        <f t="shared" si="7"/>
        <v>0</v>
      </c>
    </row>
    <row r="133" spans="1:3" x14ac:dyDescent="0.55000000000000004">
      <c r="A133" s="16" t="str">
        <f>Lookups!J7</f>
        <v>Design review</v>
      </c>
      <c r="B133" s="13">
        <f>COUNTIF('Accessibility Inventory'!$Q$2:$Q$1000,A133)</f>
        <v>0</v>
      </c>
      <c r="C133" s="14">
        <f t="shared" si="7"/>
        <v>0</v>
      </c>
    </row>
    <row r="134" spans="1:3" x14ac:dyDescent="0.55000000000000004">
      <c r="A134" s="16" t="str">
        <f>Lookups!J8</f>
        <v>Code review</v>
      </c>
      <c r="B134" s="13">
        <f>COUNTIF('Accessibility Inventory'!$Q$2:$Q$1000,A134)</f>
        <v>0</v>
      </c>
      <c r="C134" s="14">
        <f t="shared" si="7"/>
        <v>0</v>
      </c>
    </row>
    <row r="135" spans="1:3" x14ac:dyDescent="0.55000000000000004">
      <c r="A135" s="16" t="str">
        <f>Lookups!J9</f>
        <v>Component-level accessibility tests</v>
      </c>
      <c r="B135" s="13">
        <f>COUNTIF('Accessibility Inventory'!$Q$2:$Q$1000,A135)</f>
        <v>0</v>
      </c>
      <c r="C135" s="14">
        <f t="shared" si="7"/>
        <v>0</v>
      </c>
    </row>
    <row r="136" spans="1:3" x14ac:dyDescent="0.55000000000000004">
      <c r="A136" s="16" t="str">
        <f>Lookups!J10</f>
        <v>End-to-end accessibility tests</v>
      </c>
      <c r="B136" s="13">
        <f>COUNTIF('Accessibility Inventory'!$Q$2:$Q$1000,A136)</f>
        <v>0</v>
      </c>
      <c r="C136" s="14">
        <f t="shared" si="7"/>
        <v>0</v>
      </c>
    </row>
    <row r="137" spans="1:3" x14ac:dyDescent="0.55000000000000004">
      <c r="A137" s="16" t="str">
        <f>Lookups!J11</f>
        <v>Expert audit</v>
      </c>
      <c r="B137" s="13">
        <f>COUNTIF('Accessibility Inventory'!$Q$2:$Q$1000,A137)</f>
        <v>1</v>
      </c>
      <c r="C137" s="14">
        <f t="shared" si="7"/>
        <v>0.25</v>
      </c>
    </row>
    <row r="138" spans="1:3" x14ac:dyDescent="0.55000000000000004">
      <c r="A138" s="16" t="str">
        <f>Lookups!J12</f>
        <v>Testing with disabled users</v>
      </c>
      <c r="B138" s="13">
        <f>COUNTIF('Accessibility Inventory'!$Q$2:$Q$1000,A138)</f>
        <v>0</v>
      </c>
      <c r="C138" s="14">
        <f t="shared" si="7"/>
        <v>0</v>
      </c>
    </row>
    <row r="139" spans="1:3" x14ac:dyDescent="0.55000000000000004">
      <c r="A139" s="16" t="str">
        <f>Lookups!J13</f>
        <v>Vendor accessibility evidence</v>
      </c>
      <c r="B139" s="13">
        <f>COUNTIF('Accessibility Inventory'!$Q$2:$Q$1000,A139)</f>
        <v>1</v>
      </c>
      <c r="C139" s="14">
        <f t="shared" si="7"/>
        <v>0.25</v>
      </c>
    </row>
    <row r="140" spans="1:3" x14ac:dyDescent="0.55000000000000004">
      <c r="A140" s="16" t="str">
        <f>Lookups!J14</f>
        <v>VPAT / ACR review</v>
      </c>
      <c r="B140" s="13">
        <f>COUNTIF('Accessibility Inventory'!$Q$2:$Q$1000,A140)</f>
        <v>0</v>
      </c>
      <c r="C140" s="14">
        <f t="shared" si="7"/>
        <v>0</v>
      </c>
    </row>
    <row r="141" spans="1:3" x14ac:dyDescent="0.55000000000000004">
      <c r="A141" s="16" t="str">
        <f>Lookups!J15</f>
        <v>Accessibility statement / conformance report</v>
      </c>
      <c r="B141" s="13">
        <f>COUNTIF('Accessibility Inventory'!$Q$2:$Q$1000,A141)</f>
        <v>0</v>
      </c>
      <c r="C141" s="14">
        <f t="shared" si="7"/>
        <v>0</v>
      </c>
    </row>
    <row r="142" spans="1:3" x14ac:dyDescent="0.55000000000000004">
      <c r="A142" s="16" t="str">
        <f>Lookups!J16</f>
        <v>Procurement acceptance testing</v>
      </c>
      <c r="B142" s="13">
        <f>COUNTIF('Accessibility Inventory'!$Q$2:$Q$1000,A142)</f>
        <v>0</v>
      </c>
      <c r="C142" s="14">
        <f t="shared" si="7"/>
        <v>0</v>
      </c>
    </row>
    <row r="143" spans="1:3" x14ac:dyDescent="0.55000000000000004">
      <c r="A143" s="16" t="str">
        <f>Lookups!J17</f>
        <v>Combination of methods</v>
      </c>
      <c r="B143" s="13">
        <f>COUNTIF('Accessibility Inventory'!$Q$2:$Q$1000,A143)</f>
        <v>2</v>
      </c>
      <c r="C143" s="14">
        <f t="shared" si="7"/>
        <v>0.5</v>
      </c>
    </row>
    <row r="144" spans="1:3" x14ac:dyDescent="0.55000000000000004">
      <c r="A144" s="16" t="str">
        <f>Lookups!J18</f>
        <v>Not yet defined</v>
      </c>
      <c r="B144" s="13">
        <f>COUNTIF('Accessibility Inventory'!$Q$2:$Q$1000,A144)</f>
        <v>0</v>
      </c>
      <c r="C144" s="14">
        <f t="shared" si="7"/>
        <v>0</v>
      </c>
    </row>
    <row r="145" spans="1:3" x14ac:dyDescent="0.55000000000000004">
      <c r="A145" s="17" t="s">
        <v>573</v>
      </c>
      <c r="B145" s="18">
        <f>$B$6-SUM(B128:B144)</f>
        <v>0</v>
      </c>
      <c r="C145" s="19">
        <f t="shared" si="7"/>
        <v>0</v>
      </c>
    </row>
    <row r="148" spans="1:3" x14ac:dyDescent="0.55000000000000004">
      <c r="A148" s="15" t="s">
        <v>36</v>
      </c>
    </row>
    <row r="149" spans="1:3" x14ac:dyDescent="0.55000000000000004">
      <c r="A149" s="10" t="s">
        <v>572</v>
      </c>
      <c r="B149" s="11" t="s">
        <v>560</v>
      </c>
      <c r="C149" s="11" t="s">
        <v>553</v>
      </c>
    </row>
    <row r="150" spans="1:3" x14ac:dyDescent="0.55000000000000004">
      <c r="A150" s="16" t="str">
        <f>Lookups!I2</f>
        <v>Product manager</v>
      </c>
      <c r="B150" s="13">
        <f>COUNTIF('Accessibility Inventory'!$O$2:$O$1000,A150)</f>
        <v>1</v>
      </c>
      <c r="C150" s="14">
        <f t="shared" ref="C150:C176" si="8">IF($B$6=0,0,B150/$B$6)</f>
        <v>0.25</v>
      </c>
    </row>
    <row r="151" spans="1:3" x14ac:dyDescent="0.55000000000000004">
      <c r="A151" s="16" t="str">
        <f>Lookups!I3</f>
        <v>Product owner</v>
      </c>
      <c r="B151" s="13">
        <f>COUNTIF('Accessibility Inventory'!$O$2:$O$1000,A151)</f>
        <v>1</v>
      </c>
      <c r="C151" s="14">
        <f t="shared" si="8"/>
        <v>0.25</v>
      </c>
    </row>
    <row r="152" spans="1:3" x14ac:dyDescent="0.55000000000000004">
      <c r="A152" s="16" t="str">
        <f>Lookups!I4</f>
        <v>Engineering manager</v>
      </c>
      <c r="B152" s="13">
        <f>COUNTIF('Accessibility Inventory'!$O$2:$O$1000,A152)</f>
        <v>0</v>
      </c>
      <c r="C152" s="14">
        <f t="shared" si="8"/>
        <v>0</v>
      </c>
    </row>
    <row r="153" spans="1:3" x14ac:dyDescent="0.55000000000000004">
      <c r="A153" s="16" t="str">
        <f>Lookups!I5</f>
        <v>Frontend engineering</v>
      </c>
      <c r="B153" s="13">
        <f>COUNTIF('Accessibility Inventory'!$O$2:$O$1000,A153)</f>
        <v>0</v>
      </c>
      <c r="C153" s="14">
        <f t="shared" si="8"/>
        <v>0</v>
      </c>
    </row>
    <row r="154" spans="1:3" x14ac:dyDescent="0.55000000000000004">
      <c r="A154" s="16" t="str">
        <f>Lookups!I6</f>
        <v>Backend engineering</v>
      </c>
      <c r="B154" s="13">
        <f>COUNTIF('Accessibility Inventory'!$O$2:$O$1000,A154)</f>
        <v>0</v>
      </c>
      <c r="C154" s="14">
        <f t="shared" si="8"/>
        <v>0</v>
      </c>
    </row>
    <row r="155" spans="1:3" x14ac:dyDescent="0.55000000000000004">
      <c r="A155" s="16" t="str">
        <f>Lookups!I7</f>
        <v>Mobile engineering</v>
      </c>
      <c r="B155" s="13">
        <f>COUNTIF('Accessibility Inventory'!$O$2:$O$1000,A155)</f>
        <v>0</v>
      </c>
      <c r="C155" s="14">
        <f t="shared" si="8"/>
        <v>0</v>
      </c>
    </row>
    <row r="156" spans="1:3" x14ac:dyDescent="0.55000000000000004">
      <c r="A156" s="16" t="str">
        <f>Lookups!I8</f>
        <v>Platform engineering</v>
      </c>
      <c r="B156" s="13">
        <f>COUNTIF('Accessibility Inventory'!$O$2:$O$1000,A156)</f>
        <v>0</v>
      </c>
      <c r="C156" s="14">
        <f t="shared" si="8"/>
        <v>0</v>
      </c>
    </row>
    <row r="157" spans="1:3" x14ac:dyDescent="0.55000000000000004">
      <c r="A157" s="16" t="str">
        <f>Lookups!I9</f>
        <v>Design</v>
      </c>
      <c r="B157" s="13">
        <f>COUNTIF('Accessibility Inventory'!$O$2:$O$1000,A157)</f>
        <v>0</v>
      </c>
      <c r="C157" s="14">
        <f t="shared" si="8"/>
        <v>0</v>
      </c>
    </row>
    <row r="158" spans="1:3" x14ac:dyDescent="0.55000000000000004">
      <c r="A158" s="16" t="str">
        <f>Lookups!I10</f>
        <v>UX research</v>
      </c>
      <c r="B158" s="13">
        <f>COUNTIF('Accessibility Inventory'!$O$2:$O$1000,A158)</f>
        <v>0</v>
      </c>
      <c r="C158" s="14">
        <f t="shared" si="8"/>
        <v>0</v>
      </c>
    </row>
    <row r="159" spans="1:3" x14ac:dyDescent="0.55000000000000004">
      <c r="A159" s="16" t="str">
        <f>Lookups!I11</f>
        <v>Content design</v>
      </c>
      <c r="B159" s="13">
        <f>COUNTIF('Accessibility Inventory'!$O$2:$O$1000,A159)</f>
        <v>0</v>
      </c>
      <c r="C159" s="14">
        <f t="shared" si="8"/>
        <v>0</v>
      </c>
    </row>
    <row r="160" spans="1:3" x14ac:dyDescent="0.55000000000000004">
      <c r="A160" s="16" t="str">
        <f>Lookups!I12</f>
        <v>QA / test engineering</v>
      </c>
      <c r="B160" s="13">
        <f>COUNTIF('Accessibility Inventory'!$O$2:$O$1000,A160)</f>
        <v>0</v>
      </c>
      <c r="C160" s="14">
        <f t="shared" si="8"/>
        <v>0</v>
      </c>
    </row>
    <row r="161" spans="1:3" x14ac:dyDescent="0.55000000000000004">
      <c r="A161" s="16" t="str">
        <f>Lookups!I13</f>
        <v>Accessibility specialist</v>
      </c>
      <c r="B161" s="13">
        <f>COUNTIF('Accessibility Inventory'!$O$2:$O$1000,A161)</f>
        <v>0</v>
      </c>
      <c r="C161" s="14">
        <f t="shared" si="8"/>
        <v>0</v>
      </c>
    </row>
    <row r="162" spans="1:3" x14ac:dyDescent="0.55000000000000004">
      <c r="A162" s="16" t="str">
        <f>Lookups!I14</f>
        <v>Accessibility program / Centre of Excellence</v>
      </c>
      <c r="B162" s="13">
        <f>COUNTIF('Accessibility Inventory'!$O$2:$O$1000,A162)</f>
        <v>0</v>
      </c>
      <c r="C162" s="14">
        <f t="shared" si="8"/>
        <v>0</v>
      </c>
    </row>
    <row r="163" spans="1:3" x14ac:dyDescent="0.55000000000000004">
      <c r="A163" s="16" t="str">
        <f>Lookups!I15</f>
        <v>Design system team</v>
      </c>
      <c r="B163" s="13">
        <f>COUNTIF('Accessibility Inventory'!$O$2:$O$1000,A163)</f>
        <v>0</v>
      </c>
      <c r="C163" s="14">
        <f t="shared" si="8"/>
        <v>0</v>
      </c>
    </row>
    <row r="164" spans="1:3" x14ac:dyDescent="0.55000000000000004">
      <c r="A164" s="16" t="str">
        <f>Lookups!I16</f>
        <v>Security</v>
      </c>
      <c r="B164" s="13">
        <f>COUNTIF('Accessibility Inventory'!$O$2:$O$1000,A164)</f>
        <v>0</v>
      </c>
      <c r="C164" s="14">
        <f t="shared" si="8"/>
        <v>0</v>
      </c>
    </row>
    <row r="165" spans="1:3" x14ac:dyDescent="0.55000000000000004">
      <c r="A165" s="16" t="str">
        <f>Lookups!I17</f>
        <v>Privacy / data protection</v>
      </c>
      <c r="B165" s="13">
        <f>COUNTIF('Accessibility Inventory'!$O$2:$O$1000,A165)</f>
        <v>0</v>
      </c>
      <c r="C165" s="14">
        <f t="shared" si="8"/>
        <v>0</v>
      </c>
    </row>
    <row r="166" spans="1:3" x14ac:dyDescent="0.55000000000000004">
      <c r="A166" s="16" t="str">
        <f>Lookups!I18</f>
        <v>Legal / compliance</v>
      </c>
      <c r="B166" s="13">
        <f>COUNTIF('Accessibility Inventory'!$O$2:$O$1000,A166)</f>
        <v>0</v>
      </c>
      <c r="C166" s="14">
        <f t="shared" si="8"/>
        <v>0</v>
      </c>
    </row>
    <row r="167" spans="1:3" x14ac:dyDescent="0.55000000000000004">
      <c r="A167" s="16" t="str">
        <f>Lookups!I19</f>
        <v>Procurement / vendor management</v>
      </c>
      <c r="B167" s="13">
        <f>COUNTIF('Accessibility Inventory'!$O$2:$O$1000,A167)</f>
        <v>1</v>
      </c>
      <c r="C167" s="14">
        <f t="shared" si="8"/>
        <v>0.25</v>
      </c>
    </row>
    <row r="168" spans="1:3" x14ac:dyDescent="0.55000000000000004">
      <c r="A168" s="16" t="str">
        <f>Lookups!I20</f>
        <v>IT / internal systems</v>
      </c>
      <c r="B168" s="13">
        <f>COUNTIF('Accessibility Inventory'!$O$2:$O$1000,A168)</f>
        <v>1</v>
      </c>
      <c r="C168" s="14">
        <f t="shared" si="8"/>
        <v>0.25</v>
      </c>
    </row>
    <row r="169" spans="1:3" x14ac:dyDescent="0.55000000000000004">
      <c r="A169" s="16" t="str">
        <f>Lookups!I21</f>
        <v>Marketing / communications</v>
      </c>
      <c r="B169" s="13">
        <f>COUNTIF('Accessibility Inventory'!$O$2:$O$1000,A169)</f>
        <v>0</v>
      </c>
      <c r="C169" s="14">
        <f t="shared" si="8"/>
        <v>0</v>
      </c>
    </row>
    <row r="170" spans="1:3" x14ac:dyDescent="0.55000000000000004">
      <c r="A170" s="16" t="str">
        <f>Lookups!I22</f>
        <v>Document production</v>
      </c>
      <c r="B170" s="13">
        <f>COUNTIF('Accessibility Inventory'!$O$2:$O$1000,A170)</f>
        <v>0</v>
      </c>
      <c r="C170" s="14">
        <f t="shared" si="8"/>
        <v>0</v>
      </c>
    </row>
    <row r="171" spans="1:3" x14ac:dyDescent="0.55000000000000004">
      <c r="A171" s="16" t="str">
        <f>Lookups!I23</f>
        <v>Customer support</v>
      </c>
      <c r="B171" s="13">
        <f>COUNTIF('Accessibility Inventory'!$O$2:$O$1000,A171)</f>
        <v>0</v>
      </c>
      <c r="C171" s="14">
        <f t="shared" si="8"/>
        <v>0</v>
      </c>
    </row>
    <row r="172" spans="1:3" x14ac:dyDescent="0.55000000000000004">
      <c r="A172" s="16" t="str">
        <f>Lookups!I24</f>
        <v>Operations</v>
      </c>
      <c r="B172" s="13">
        <f>COUNTIF('Accessibility Inventory'!$O$2:$O$1000,A172)</f>
        <v>0</v>
      </c>
      <c r="C172" s="14">
        <f t="shared" si="8"/>
        <v>0</v>
      </c>
    </row>
    <row r="173" spans="1:3" x14ac:dyDescent="0.55000000000000004">
      <c r="A173" s="16" t="str">
        <f>Lookups!I25</f>
        <v>Executive sponsor</v>
      </c>
      <c r="B173" s="13">
        <f>COUNTIF('Accessibility Inventory'!$O$2:$O$1000,A173)</f>
        <v>0</v>
      </c>
      <c r="C173" s="14">
        <f t="shared" si="8"/>
        <v>0</v>
      </c>
    </row>
    <row r="174" spans="1:3" x14ac:dyDescent="0.55000000000000004">
      <c r="A174" s="16" t="str">
        <f>Lookups!I26</f>
        <v>Vendor / supplier</v>
      </c>
      <c r="B174" s="13">
        <f>COUNTIF('Accessibility Inventory'!$O$2:$O$1000,A174)</f>
        <v>0</v>
      </c>
      <c r="C174" s="14">
        <f t="shared" si="8"/>
        <v>0</v>
      </c>
    </row>
    <row r="175" spans="1:3" x14ac:dyDescent="0.55000000000000004">
      <c r="A175" s="16" t="str">
        <f>Lookups!I27</f>
        <v>Shared ownership</v>
      </c>
      <c r="B175" s="13">
        <f>COUNTIF('Accessibility Inventory'!$O$2:$O$1000,A175)</f>
        <v>0</v>
      </c>
      <c r="C175" s="14">
        <f t="shared" si="8"/>
        <v>0</v>
      </c>
    </row>
    <row r="176" spans="1:3" x14ac:dyDescent="0.55000000000000004">
      <c r="A176" s="17" t="s">
        <v>573</v>
      </c>
      <c r="B176" s="18">
        <f>$B$6-SUM(B150:B175)</f>
        <v>0</v>
      </c>
      <c r="C176" s="19">
        <f t="shared" si="8"/>
        <v>0</v>
      </c>
    </row>
    <row r="179" spans="1:3" x14ac:dyDescent="0.55000000000000004">
      <c r="A179" s="15" t="s">
        <v>27</v>
      </c>
    </row>
    <row r="180" spans="1:3" x14ac:dyDescent="0.55000000000000004">
      <c r="A180" s="10" t="s">
        <v>572</v>
      </c>
      <c r="B180" s="11" t="s">
        <v>560</v>
      </c>
      <c r="C180" s="11" t="s">
        <v>553</v>
      </c>
    </row>
    <row r="181" spans="1:3" x14ac:dyDescent="0.55000000000000004">
      <c r="A181" s="16" t="str">
        <f>Lookups!D2</f>
        <v>General public</v>
      </c>
      <c r="B181" s="13">
        <f>COUNTIF('Accessibility Inventory'!$F$2:$F$1000,A181)</f>
        <v>1</v>
      </c>
      <c r="C181" s="14">
        <f t="shared" ref="C181:C194" si="9">IF($B$6=0,0,B181/$B$6)</f>
        <v>0.25</v>
      </c>
    </row>
    <row r="182" spans="1:3" x14ac:dyDescent="0.55000000000000004">
      <c r="A182" s="16" t="str">
        <f>Lookups!D3</f>
        <v>Customers</v>
      </c>
      <c r="B182" s="13">
        <f>COUNTIF('Accessibility Inventory'!$F$2:$F$1000,A182)</f>
        <v>2</v>
      </c>
      <c r="C182" s="14">
        <f t="shared" si="9"/>
        <v>0.5</v>
      </c>
    </row>
    <row r="183" spans="1:3" x14ac:dyDescent="0.55000000000000004">
      <c r="A183" s="16" t="str">
        <f>Lookups!D4</f>
        <v>Prospective customers</v>
      </c>
      <c r="B183" s="13">
        <f>COUNTIF('Accessibility Inventory'!$F$2:$F$1000,A183)</f>
        <v>0</v>
      </c>
      <c r="C183" s="14">
        <f t="shared" si="9"/>
        <v>0</v>
      </c>
    </row>
    <row r="184" spans="1:3" x14ac:dyDescent="0.55000000000000004">
      <c r="A184" s="16" t="str">
        <f>Lookups!D5</f>
        <v>Employees</v>
      </c>
      <c r="B184" s="13">
        <f>COUNTIF('Accessibility Inventory'!$F$2:$F$1000,A184)</f>
        <v>1</v>
      </c>
      <c r="C184" s="14">
        <f t="shared" si="9"/>
        <v>0.25</v>
      </c>
    </row>
    <row r="185" spans="1:3" x14ac:dyDescent="0.55000000000000004">
      <c r="A185" s="16" t="str">
        <f>Lookups!D6</f>
        <v>Job applicants</v>
      </c>
      <c r="B185" s="13">
        <f>COUNTIF('Accessibility Inventory'!$F$2:$F$1000,A185)</f>
        <v>0</v>
      </c>
      <c r="C185" s="14">
        <f t="shared" si="9"/>
        <v>0</v>
      </c>
    </row>
    <row r="186" spans="1:3" x14ac:dyDescent="0.55000000000000004">
      <c r="A186" s="16" t="str">
        <f>Lookups!D7</f>
        <v>Partners/suppliers</v>
      </c>
      <c r="B186" s="13">
        <f>COUNTIF('Accessibility Inventory'!$F$2:$F$1000,A186)</f>
        <v>0</v>
      </c>
      <c r="C186" s="14">
        <f t="shared" si="9"/>
        <v>0</v>
      </c>
    </row>
    <row r="187" spans="1:3" x14ac:dyDescent="0.55000000000000004">
      <c r="A187" s="16" t="str">
        <f>Lookups!D8</f>
        <v>Administrators</v>
      </c>
      <c r="B187" s="13">
        <f>COUNTIF('Accessibility Inventory'!$F$2:$F$1000,A187)</f>
        <v>0</v>
      </c>
      <c r="C187" s="14">
        <f t="shared" si="9"/>
        <v>0</v>
      </c>
    </row>
    <row r="188" spans="1:3" x14ac:dyDescent="0.55000000000000004">
      <c r="A188" s="16" t="str">
        <f>Lookups!D9</f>
        <v>Students/learners</v>
      </c>
      <c r="B188" s="13">
        <f>COUNTIF('Accessibility Inventory'!$F$2:$F$1000,A188)</f>
        <v>0</v>
      </c>
      <c r="C188" s="14">
        <f t="shared" si="9"/>
        <v>0</v>
      </c>
    </row>
    <row r="189" spans="1:3" x14ac:dyDescent="0.55000000000000004">
      <c r="A189" s="16" t="str">
        <f>Lookups!D10</f>
        <v>Patients/service users</v>
      </c>
      <c r="B189" s="13">
        <f>COUNTIF('Accessibility Inventory'!$F$2:$F$1000,A189)</f>
        <v>0</v>
      </c>
      <c r="C189" s="14">
        <f t="shared" si="9"/>
        <v>0</v>
      </c>
    </row>
    <row r="190" spans="1:3" x14ac:dyDescent="0.55000000000000004">
      <c r="A190" s="16" t="str">
        <f>Lookups!D11</f>
        <v>Developers</v>
      </c>
      <c r="B190" s="13">
        <f>COUNTIF('Accessibility Inventory'!$F$2:$F$1000,A190)</f>
        <v>0</v>
      </c>
      <c r="C190" s="14">
        <f t="shared" si="9"/>
        <v>0</v>
      </c>
    </row>
    <row r="191" spans="1:3" x14ac:dyDescent="0.55000000000000004">
      <c r="A191" s="16" t="str">
        <f>Lookups!D12</f>
        <v>Public-sector users</v>
      </c>
      <c r="B191" s="13">
        <f>COUNTIF('Accessibility Inventory'!$F$2:$F$1000,A191)</f>
        <v>0</v>
      </c>
      <c r="C191" s="14">
        <f t="shared" si="9"/>
        <v>0</v>
      </c>
    </row>
    <row r="192" spans="1:3" x14ac:dyDescent="0.55000000000000004">
      <c r="A192" s="16" t="str">
        <f>Lookups!D13</f>
        <v>Mixed audience</v>
      </c>
      <c r="B192" s="13">
        <f>COUNTIF('Accessibility Inventory'!$F$2:$F$1000,A192)</f>
        <v>0</v>
      </c>
      <c r="C192" s="14">
        <f t="shared" si="9"/>
        <v>0</v>
      </c>
    </row>
    <row r="193" spans="1:3" x14ac:dyDescent="0.55000000000000004">
      <c r="A193" s="16" t="str">
        <f>Lookups!D14</f>
        <v>Other</v>
      </c>
      <c r="B193" s="13">
        <f>COUNTIF('Accessibility Inventory'!$F$2:$F$1000,A193)</f>
        <v>0</v>
      </c>
      <c r="C193" s="14">
        <f t="shared" si="9"/>
        <v>0</v>
      </c>
    </row>
    <row r="194" spans="1:3" x14ac:dyDescent="0.55000000000000004">
      <c r="A194" s="17" t="s">
        <v>573</v>
      </c>
      <c r="B194" s="18">
        <f>$B$6-SUM(B181:B193)</f>
        <v>0</v>
      </c>
      <c r="C194" s="19">
        <f t="shared" si="9"/>
        <v>0</v>
      </c>
    </row>
    <row r="197" spans="1:3" x14ac:dyDescent="0.55000000000000004">
      <c r="A197" s="15" t="s">
        <v>26</v>
      </c>
    </row>
    <row r="198" spans="1:3" x14ac:dyDescent="0.55000000000000004">
      <c r="A198" s="10" t="s">
        <v>572</v>
      </c>
      <c r="B198" s="11" t="s">
        <v>560</v>
      </c>
      <c r="C198" s="11" t="s">
        <v>553</v>
      </c>
    </row>
    <row r="199" spans="1:3" x14ac:dyDescent="0.55000000000000004">
      <c r="A199" s="16" t="str">
        <f>Lookups!C2</f>
        <v>Responsive web</v>
      </c>
      <c r="B199" s="13">
        <f>COUNTIF('Accessibility Inventory'!$E$2:$E$1000,A199)</f>
        <v>4</v>
      </c>
      <c r="C199" s="14">
        <f t="shared" ref="C199:C215" si="10">IF($B$6=0,0,B199/$B$6)</f>
        <v>1</v>
      </c>
    </row>
    <row r="200" spans="1:3" x14ac:dyDescent="0.55000000000000004">
      <c r="A200" s="16" t="str">
        <f>Lookups!C3</f>
        <v>Desktop web</v>
      </c>
      <c r="B200" s="13">
        <f>COUNTIF('Accessibility Inventory'!$E$2:$E$1000,A200)</f>
        <v>0</v>
      </c>
      <c r="C200" s="14">
        <f t="shared" si="10"/>
        <v>0</v>
      </c>
    </row>
    <row r="201" spans="1:3" x14ac:dyDescent="0.55000000000000004">
      <c r="A201" s="16" t="str">
        <f>Lookups!C4</f>
        <v>Mobile web</v>
      </c>
      <c r="B201" s="13">
        <f>COUNTIF('Accessibility Inventory'!$E$2:$E$1000,A201)</f>
        <v>0</v>
      </c>
      <c r="C201" s="14">
        <f t="shared" si="10"/>
        <v>0</v>
      </c>
    </row>
    <row r="202" spans="1:3" x14ac:dyDescent="0.55000000000000004">
      <c r="A202" s="16" t="str">
        <f>Lookups!C5</f>
        <v>iOS</v>
      </c>
      <c r="B202" s="13">
        <f>COUNTIF('Accessibility Inventory'!$E$2:$E$1000,A202)</f>
        <v>0</v>
      </c>
      <c r="C202" s="14">
        <f t="shared" si="10"/>
        <v>0</v>
      </c>
    </row>
    <row r="203" spans="1:3" x14ac:dyDescent="0.55000000000000004">
      <c r="A203" s="16" t="str">
        <f>Lookups!C6</f>
        <v>Android</v>
      </c>
      <c r="B203" s="13">
        <f>COUNTIF('Accessibility Inventory'!$E$2:$E$1000,A203)</f>
        <v>0</v>
      </c>
      <c r="C203" s="14">
        <f t="shared" si="10"/>
        <v>0</v>
      </c>
    </row>
    <row r="204" spans="1:3" x14ac:dyDescent="0.55000000000000004">
      <c r="A204" s="16" t="str">
        <f>Lookups!C7</f>
        <v>Windows</v>
      </c>
      <c r="B204" s="13">
        <f>COUNTIF('Accessibility Inventory'!$E$2:$E$1000,A204)</f>
        <v>0</v>
      </c>
      <c r="C204" s="14">
        <f t="shared" si="10"/>
        <v>0</v>
      </c>
    </row>
    <row r="205" spans="1:3" x14ac:dyDescent="0.55000000000000004">
      <c r="A205" s="16" t="str">
        <f>Lookups!C8</f>
        <v>macOS</v>
      </c>
      <c r="B205" s="13">
        <f>COUNTIF('Accessibility Inventory'!$E$2:$E$1000,A205)</f>
        <v>0</v>
      </c>
      <c r="C205" s="14">
        <f t="shared" si="10"/>
        <v>0</v>
      </c>
    </row>
    <row r="206" spans="1:3" x14ac:dyDescent="0.55000000000000004">
      <c r="A206" s="16" t="str">
        <f>Lookups!C9</f>
        <v>Linux</v>
      </c>
      <c r="B206" s="13">
        <f>COUNTIF('Accessibility Inventory'!$E$2:$E$1000,A206)</f>
        <v>0</v>
      </c>
      <c r="C206" s="14">
        <f t="shared" si="10"/>
        <v>0</v>
      </c>
    </row>
    <row r="207" spans="1:3" x14ac:dyDescent="0.55000000000000004">
      <c r="A207" s="16" t="str">
        <f>Lookups!C10</f>
        <v>Cross-platform desktop</v>
      </c>
      <c r="B207" s="13">
        <f>COUNTIF('Accessibility Inventory'!$E$2:$E$1000,A207)</f>
        <v>0</v>
      </c>
      <c r="C207" s="14">
        <f t="shared" si="10"/>
        <v>0</v>
      </c>
    </row>
    <row r="208" spans="1:3" x14ac:dyDescent="0.55000000000000004">
      <c r="A208" s="16" t="str">
        <f>Lookups!C11</f>
        <v>PDF</v>
      </c>
      <c r="B208" s="13">
        <f>COUNTIF('Accessibility Inventory'!$E$2:$E$1000,A208)</f>
        <v>0</v>
      </c>
      <c r="C208" s="14">
        <f t="shared" si="10"/>
        <v>0</v>
      </c>
    </row>
    <row r="209" spans="1:3" x14ac:dyDescent="0.55000000000000004">
      <c r="A209" s="16" t="str">
        <f>Lookups!C12</f>
        <v>Office document</v>
      </c>
      <c r="B209" s="13">
        <f>COUNTIF('Accessibility Inventory'!$E$2:$E$1000,A209)</f>
        <v>0</v>
      </c>
      <c r="C209" s="14">
        <f t="shared" si="10"/>
        <v>0</v>
      </c>
    </row>
    <row r="210" spans="1:3" x14ac:dyDescent="0.55000000000000004">
      <c r="A210" s="16" t="str">
        <f>Lookups!C13</f>
        <v>Email client</v>
      </c>
      <c r="B210" s="13">
        <f>COUNTIF('Accessibility Inventory'!$E$2:$E$1000,A210)</f>
        <v>0</v>
      </c>
      <c r="C210" s="14">
        <f t="shared" si="10"/>
        <v>0</v>
      </c>
    </row>
    <row r="211" spans="1:3" x14ac:dyDescent="0.55000000000000004">
      <c r="A211" s="16" t="str">
        <f>Lookups!C14</f>
        <v>Kiosk/embedded</v>
      </c>
      <c r="B211" s="13">
        <f>COUNTIF('Accessibility Inventory'!$E$2:$E$1000,A211)</f>
        <v>0</v>
      </c>
      <c r="C211" s="14">
        <f t="shared" si="10"/>
        <v>0</v>
      </c>
    </row>
    <row r="212" spans="1:3" x14ac:dyDescent="0.55000000000000004">
      <c r="A212" s="16" t="str">
        <f>Lookups!C15</f>
        <v>Hardware/firmware</v>
      </c>
      <c r="B212" s="13">
        <f>COUNTIF('Accessibility Inventory'!$E$2:$E$1000,A212)</f>
        <v>0</v>
      </c>
      <c r="C212" s="14">
        <f t="shared" si="10"/>
        <v>0</v>
      </c>
    </row>
    <row r="213" spans="1:3" x14ac:dyDescent="0.55000000000000004">
      <c r="A213" s="16" t="str">
        <f>Lookups!C16</f>
        <v>Multiple platforms</v>
      </c>
      <c r="B213" s="13">
        <f>COUNTIF('Accessibility Inventory'!$E$2:$E$1000,A213)</f>
        <v>0</v>
      </c>
      <c r="C213" s="14">
        <f t="shared" si="10"/>
        <v>0</v>
      </c>
    </row>
    <row r="214" spans="1:3" x14ac:dyDescent="0.55000000000000004">
      <c r="A214" s="16" t="str">
        <f>Lookups!C17</f>
        <v>Other</v>
      </c>
      <c r="B214" s="13">
        <f>COUNTIF('Accessibility Inventory'!$E$2:$E$1000,A214)</f>
        <v>0</v>
      </c>
      <c r="C214" s="14">
        <f t="shared" si="10"/>
        <v>0</v>
      </c>
    </row>
    <row r="215" spans="1:3" x14ac:dyDescent="0.55000000000000004">
      <c r="A215" s="17" t="s">
        <v>573</v>
      </c>
      <c r="B215" s="18">
        <f>$B$6-SUM(B199:B214)</f>
        <v>0</v>
      </c>
      <c r="C215" s="19">
        <f t="shared" si="10"/>
        <v>0</v>
      </c>
    </row>
    <row r="218" spans="1:3" x14ac:dyDescent="0.55000000000000004">
      <c r="A218" s="15" t="s">
        <v>40</v>
      </c>
    </row>
    <row r="219" spans="1:3" x14ac:dyDescent="0.55000000000000004">
      <c r="A219" s="10" t="s">
        <v>572</v>
      </c>
      <c r="B219" s="11" t="s">
        <v>560</v>
      </c>
      <c r="C219" s="11" t="s">
        <v>553</v>
      </c>
    </row>
    <row r="220" spans="1:3" x14ac:dyDescent="0.55000000000000004">
      <c r="A220" s="16" t="str">
        <f>Lookups!L2</f>
        <v>First-party</v>
      </c>
      <c r="B220" s="13">
        <f>COUNTIF('Accessibility Inventory'!$S$2:$S$1000,A220)</f>
        <v>2</v>
      </c>
      <c r="C220" s="14">
        <f t="shared" ref="C220:C226" si="11">IF($B$6=0,0,B220/$B$6)</f>
        <v>0.5</v>
      </c>
    </row>
    <row r="221" spans="1:3" x14ac:dyDescent="0.55000000000000004">
      <c r="A221" s="16" t="str">
        <f>Lookups!L3</f>
        <v>Third-party</v>
      </c>
      <c r="B221" s="13">
        <f>COUNTIF('Accessibility Inventory'!$S$2:$S$1000,A221)</f>
        <v>0</v>
      </c>
      <c r="C221" s="14">
        <f t="shared" si="11"/>
        <v>0</v>
      </c>
    </row>
    <row r="222" spans="1:3" x14ac:dyDescent="0.55000000000000004">
      <c r="A222" s="16" t="str">
        <f>Lookups!L4</f>
        <v>Mixed</v>
      </c>
      <c r="B222" s="13">
        <f>COUNTIF('Accessibility Inventory'!$S$2:$S$1000,A222)</f>
        <v>1</v>
      </c>
      <c r="C222" s="14">
        <f t="shared" si="11"/>
        <v>0.25</v>
      </c>
    </row>
    <row r="223" spans="1:3" x14ac:dyDescent="0.55000000000000004">
      <c r="A223" s="16" t="str">
        <f>Lookups!L5</f>
        <v>Open-source dependency</v>
      </c>
      <c r="B223" s="13">
        <f>COUNTIF('Accessibility Inventory'!$S$2:$S$1000,A223)</f>
        <v>0</v>
      </c>
      <c r="C223" s="14">
        <f t="shared" si="11"/>
        <v>0</v>
      </c>
    </row>
    <row r="224" spans="1:3" x14ac:dyDescent="0.55000000000000004">
      <c r="A224" s="16" t="str">
        <f>Lookups!L6</f>
        <v>Vendor-hosted</v>
      </c>
      <c r="B224" s="13">
        <f>COUNTIF('Accessibility Inventory'!$S$2:$S$1000,A224)</f>
        <v>1</v>
      </c>
      <c r="C224" s="14">
        <f t="shared" si="11"/>
        <v>0.25</v>
      </c>
    </row>
    <row r="225" spans="1:3" x14ac:dyDescent="0.55000000000000004">
      <c r="A225" s="16" t="str">
        <f>Lookups!L7</f>
        <v>Unknown</v>
      </c>
      <c r="B225" s="13">
        <f>COUNTIF('Accessibility Inventory'!$S$2:$S$1000,A225)</f>
        <v>0</v>
      </c>
      <c r="C225" s="14">
        <f t="shared" si="11"/>
        <v>0</v>
      </c>
    </row>
    <row r="226" spans="1:3" x14ac:dyDescent="0.55000000000000004">
      <c r="A226" s="17" t="s">
        <v>573</v>
      </c>
      <c r="B226" s="18">
        <f>$B$6-SUM(B220:B225)</f>
        <v>0</v>
      </c>
      <c r="C226" s="19">
        <f t="shared" si="11"/>
        <v>0</v>
      </c>
    </row>
    <row r="229" spans="1:3" x14ac:dyDescent="0.55000000000000004">
      <c r="A229" s="15" t="s">
        <v>574</v>
      </c>
    </row>
    <row r="230" spans="1:3" x14ac:dyDescent="0.55000000000000004">
      <c r="A230" s="10" t="s">
        <v>99</v>
      </c>
      <c r="B230" s="11" t="s">
        <v>575</v>
      </c>
      <c r="C230" s="11" t="s">
        <v>576</v>
      </c>
    </row>
    <row r="231" spans="1:3" x14ac:dyDescent="0.55000000000000004">
      <c r="A231" s="12" t="s">
        <v>109</v>
      </c>
      <c r="B231" s="13">
        <f>SUMPRODUCT(COUNTIF('Accessibility Inventory'!$I$2:$K$1000,'Legal Register'!$D$2:$D$44)*('Legal Register'!$A$2:$A$44=A231))</f>
        <v>4</v>
      </c>
      <c r="C231" s="14">
        <f t="shared" ref="C231:C237" si="12">IF(SUM($B$231:$B$237)=0,0,B231/SUM($B$231:$B$237))</f>
        <v>0.8</v>
      </c>
    </row>
    <row r="232" spans="1:3" x14ac:dyDescent="0.55000000000000004">
      <c r="A232" s="12" t="s">
        <v>212</v>
      </c>
      <c r="B232" s="13">
        <f>SUMPRODUCT(COUNTIF('Accessibility Inventory'!$I$2:$K$1000,'Legal Register'!$D$2:$D$44)*('Legal Register'!$A$2:$A$44=A232))</f>
        <v>1</v>
      </c>
      <c r="C232" s="14">
        <f t="shared" si="12"/>
        <v>0.2</v>
      </c>
    </row>
    <row r="233" spans="1:3" x14ac:dyDescent="0.55000000000000004">
      <c r="A233" s="12" t="s">
        <v>274</v>
      </c>
      <c r="B233" s="13">
        <f>SUMPRODUCT(COUNTIF('Accessibility Inventory'!$I$2:$K$1000,'Legal Register'!$D$2:$D$44)*('Legal Register'!$A$2:$A$44=A233))</f>
        <v>0</v>
      </c>
      <c r="C233" s="14">
        <f t="shared" si="12"/>
        <v>0</v>
      </c>
    </row>
    <row r="234" spans="1:3" x14ac:dyDescent="0.55000000000000004">
      <c r="A234" s="12" t="s">
        <v>313</v>
      </c>
      <c r="B234" s="13">
        <f>SUMPRODUCT(COUNTIF('Accessibility Inventory'!$I$2:$K$1000,'Legal Register'!$D$2:$D$44)*('Legal Register'!$A$2:$A$44=A234))</f>
        <v>0</v>
      </c>
      <c r="C234" s="14">
        <f t="shared" si="12"/>
        <v>0</v>
      </c>
    </row>
    <row r="235" spans="1:3" x14ac:dyDescent="0.55000000000000004">
      <c r="A235" s="12" t="s">
        <v>367</v>
      </c>
      <c r="B235" s="13">
        <f>SUMPRODUCT(COUNTIF('Accessibility Inventory'!$I$2:$K$1000,'Legal Register'!$D$2:$D$44)*('Legal Register'!$A$2:$A$44=A235))</f>
        <v>0</v>
      </c>
      <c r="C235" s="14">
        <f t="shared" si="12"/>
        <v>0</v>
      </c>
    </row>
    <row r="236" spans="1:3" x14ac:dyDescent="0.55000000000000004">
      <c r="A236" s="12" t="s">
        <v>376</v>
      </c>
      <c r="B236" s="13">
        <f>SUMPRODUCT(COUNTIF('Accessibility Inventory'!$I$2:$K$1000,'Legal Register'!$D$2:$D$44)*('Legal Register'!$A$2:$A$44=A236))</f>
        <v>0</v>
      </c>
      <c r="C236" s="14">
        <f t="shared" si="12"/>
        <v>0</v>
      </c>
    </row>
    <row r="237" spans="1:3" x14ac:dyDescent="0.55000000000000004">
      <c r="A237" s="12" t="s">
        <v>408</v>
      </c>
      <c r="B237" s="13">
        <f>SUMPRODUCT(COUNTIF('Accessibility Inventory'!$I$2:$K$1000,'Legal Register'!$D$2:$D$44)*('Legal Register'!$A$2:$A$44=A237))</f>
        <v>0</v>
      </c>
      <c r="C237" s="14">
        <f t="shared" si="12"/>
        <v>0</v>
      </c>
    </row>
    <row r="238" spans="1:3" x14ac:dyDescent="0.55000000000000004">
      <c r="A238" s="20" t="s">
        <v>577</v>
      </c>
      <c r="B238" s="21">
        <f>SUM(B231:B237)</f>
        <v>5</v>
      </c>
      <c r="C238" s="22"/>
    </row>
    <row r="241" spans="1:3" x14ac:dyDescent="0.55000000000000004">
      <c r="A241" s="15" t="s">
        <v>578</v>
      </c>
    </row>
    <row r="242" spans="1:3" x14ac:dyDescent="0.55000000000000004">
      <c r="A242" s="10" t="s">
        <v>102</v>
      </c>
      <c r="B242" s="10" t="s">
        <v>100</v>
      </c>
      <c r="C242" s="11" t="s">
        <v>579</v>
      </c>
    </row>
    <row r="243" spans="1:3" x14ac:dyDescent="0.55000000000000004">
      <c r="A243" s="16" t="str">
        <f>'Legal Register'!D2</f>
        <v>EU Web Accessibility Directive (EU) 2016/2102 (WAD)</v>
      </c>
      <c r="B243" s="16" t="str">
        <f>'Legal Register'!B2</f>
        <v>European Union</v>
      </c>
      <c r="C243" s="13">
        <f>COUNTIF('Accessibility Inventory'!$I$2:$K$1000,A243)</f>
        <v>1</v>
      </c>
    </row>
    <row r="244" spans="1:3" x14ac:dyDescent="0.55000000000000004">
      <c r="A244" s="16" t="str">
        <f>'Legal Register'!D3</f>
        <v>European Accessibility Act — Directive (EU) 2019/882 (EAA)</v>
      </c>
      <c r="B244" s="16" t="str">
        <f>'Legal Register'!B3</f>
        <v>European Union</v>
      </c>
      <c r="C244" s="13">
        <f>COUNTIF('Accessibility Inventory'!$I$2:$K$1000,A244)</f>
        <v>1</v>
      </c>
    </row>
    <row r="245" spans="1:3" x14ac:dyDescent="0.55000000000000004">
      <c r="A245" s="16" t="str">
        <f>'Legal Register'!D4</f>
        <v>France — Article 47, Law No. 2005-102 + RGAA</v>
      </c>
      <c r="B245" s="16" t="str">
        <f>'Legal Register'!B4</f>
        <v>France</v>
      </c>
      <c r="C245" s="13">
        <f>COUNTIF('Accessibility Inventory'!$I$2:$K$1000,A245)</f>
        <v>1</v>
      </c>
    </row>
    <row r="246" spans="1:3" x14ac:dyDescent="0.55000000000000004">
      <c r="A246" s="16" t="str">
        <f>'Legal Register'!D5</f>
        <v>Germany — BITV 2.0</v>
      </c>
      <c r="B246" s="16" t="str">
        <f>'Legal Register'!B5</f>
        <v>Germany</v>
      </c>
      <c r="C246" s="13">
        <f>COUNTIF('Accessibility Inventory'!$I$2:$K$1000,A246)</f>
        <v>0</v>
      </c>
    </row>
    <row r="247" spans="1:3" x14ac:dyDescent="0.55000000000000004">
      <c r="A247" s="16" t="str">
        <f>'Legal Register'!D6</f>
        <v>Italy — Law No. 4/2004 (Stanca Law), as amended</v>
      </c>
      <c r="B247" s="16" t="str">
        <f>'Legal Register'!B6</f>
        <v>Italy</v>
      </c>
      <c r="C247" s="13">
        <f>COUNTIF('Accessibility Inventory'!$I$2:$K$1000,A247)</f>
        <v>0</v>
      </c>
    </row>
    <row r="248" spans="1:3" x14ac:dyDescent="0.55000000000000004">
      <c r="A248" s="16" t="str">
        <f>'Legal Register'!D7</f>
        <v>Spain — Royal Decree 1112/2018</v>
      </c>
      <c r="B248" s="16" t="str">
        <f>'Legal Register'!B7</f>
        <v>Spain</v>
      </c>
      <c r="C248" s="13">
        <f>COUNTIF('Accessibility Inventory'!$I$2:$K$1000,A248)</f>
        <v>0</v>
      </c>
    </row>
    <row r="249" spans="1:3" x14ac:dyDescent="0.55000000000000004">
      <c r="A249" s="16" t="str">
        <f>'Legal Register'!D8</f>
        <v>Ireland — S.I. No. 358/2020 Accessibility Regulations</v>
      </c>
      <c r="B249" s="16" t="str">
        <f>'Legal Register'!B8</f>
        <v>Ireland</v>
      </c>
      <c r="C249" s="13">
        <f>COUNTIF('Accessibility Inventory'!$I$2:$K$1000,A249)</f>
        <v>0</v>
      </c>
    </row>
    <row r="250" spans="1:3" x14ac:dyDescent="0.55000000000000004">
      <c r="A250" s="16" t="str">
        <f>'Legal Register'!D9</f>
        <v>Sweden — Act (2018:1937) on accessibility to digital public services</v>
      </c>
      <c r="B250" s="16" t="str">
        <f>'Legal Register'!B9</f>
        <v>Sweden</v>
      </c>
      <c r="C250" s="13">
        <f>COUNTIF('Accessibility Inventory'!$I$2:$K$1000,A250)</f>
        <v>0</v>
      </c>
    </row>
    <row r="251" spans="1:3" x14ac:dyDescent="0.55000000000000004">
      <c r="A251" s="16" t="str">
        <f>'Legal Register'!D10</f>
        <v>Finland — Act on the Provision of Digital Services (306/2019)</v>
      </c>
      <c r="B251" s="16" t="str">
        <f>'Legal Register'!B10</f>
        <v>Finland</v>
      </c>
      <c r="C251" s="13">
        <f>COUNTIF('Accessibility Inventory'!$I$2:$K$1000,A251)</f>
        <v>0</v>
      </c>
    </row>
    <row r="252" spans="1:3" x14ac:dyDescent="0.55000000000000004">
      <c r="A252" s="16" t="str">
        <f>'Legal Register'!D11</f>
        <v>Denmark — Web Accessibility Act</v>
      </c>
      <c r="B252" s="16" t="str">
        <f>'Legal Register'!B11</f>
        <v>Denmark</v>
      </c>
      <c r="C252" s="13">
        <f>COUNTIF('Accessibility Inventory'!$I$2:$K$1000,A252)</f>
        <v>0</v>
      </c>
    </row>
    <row r="253" spans="1:3" ht="24.6" x14ac:dyDescent="0.55000000000000004">
      <c r="A253" s="16" t="str">
        <f>'Legal Register'!D12</f>
        <v>Belgium — Law on accessibility of websites and mobile applications of public bodies (2018)</v>
      </c>
      <c r="B253" s="16" t="str">
        <f>'Legal Register'!B12</f>
        <v>Belgium</v>
      </c>
      <c r="C253" s="13">
        <f>COUNTIF('Accessibility Inventory'!$I$2:$K$1000,A253)</f>
        <v>0</v>
      </c>
    </row>
    <row r="254" spans="1:3" x14ac:dyDescent="0.55000000000000004">
      <c r="A254" s="16" t="str">
        <f>'Legal Register'!D13</f>
        <v>Netherlands — public-sector digital accessibility decree/rules</v>
      </c>
      <c r="B254" s="16" t="str">
        <f>'Legal Register'!B13</f>
        <v>Netherlands</v>
      </c>
      <c r="C254" s="13">
        <f>COUNTIF('Accessibility Inventory'!$I$2:$K$1000,A254)</f>
        <v>0</v>
      </c>
    </row>
    <row r="255" spans="1:3" x14ac:dyDescent="0.55000000000000004">
      <c r="A255" s="16" t="str">
        <f>'Legal Register'!D14</f>
        <v>Poland — Act of 4 April 2019 on digital accessibility</v>
      </c>
      <c r="B255" s="16" t="str">
        <f>'Legal Register'!B14</f>
        <v>Poland</v>
      </c>
      <c r="C255" s="13">
        <f>COUNTIF('Accessibility Inventory'!$I$2:$K$1000,A255)</f>
        <v>0</v>
      </c>
    </row>
    <row r="256" spans="1:3" x14ac:dyDescent="0.55000000000000004">
      <c r="A256" s="16" t="str">
        <f>'Legal Register'!D15</f>
        <v>Portugal — Decreto-Lei n.º 83/2018</v>
      </c>
      <c r="B256" s="16" t="str">
        <f>'Legal Register'!B15</f>
        <v>Portugal</v>
      </c>
      <c r="C256" s="13">
        <f>COUNTIF('Accessibility Inventory'!$I$2:$K$1000,A256)</f>
        <v>0</v>
      </c>
    </row>
    <row r="257" spans="1:3" x14ac:dyDescent="0.55000000000000004">
      <c r="A257" s="16" t="str">
        <f>'Legal Register'!D16</f>
        <v>UK — Public Sector Bodies Accessibility Regulations 2018</v>
      </c>
      <c r="B257" s="16" t="str">
        <f>'Legal Register'!B16</f>
        <v>United Kingdom</v>
      </c>
      <c r="C257" s="13">
        <f>COUNTIF('Accessibility Inventory'!$I$2:$K$1000,A257)</f>
        <v>0</v>
      </c>
    </row>
    <row r="258" spans="1:3" x14ac:dyDescent="0.55000000000000004">
      <c r="A258" s="16" t="str">
        <f>'Legal Register'!D17</f>
        <v>UK — Equality Act 2010</v>
      </c>
      <c r="B258" s="16" t="str">
        <f>'Legal Register'!B17</f>
        <v>United Kingdom</v>
      </c>
      <c r="C258" s="13">
        <f>COUNTIF('Accessibility Inventory'!$I$2:$K$1000,A258)</f>
        <v>1</v>
      </c>
    </row>
    <row r="259" spans="1:3" x14ac:dyDescent="0.55000000000000004">
      <c r="A259" s="16" t="str">
        <f>'Legal Register'!D18</f>
        <v>US — Americans with Disabilities Act (ADA)</v>
      </c>
      <c r="B259" s="16" t="str">
        <f>'Legal Register'!B18</f>
        <v>United States</v>
      </c>
      <c r="C259" s="13">
        <f>COUNTIF('Accessibility Inventory'!$I$2:$K$1000,A259)</f>
        <v>0</v>
      </c>
    </row>
    <row r="260" spans="1:3" x14ac:dyDescent="0.55000000000000004">
      <c r="A260" s="16" t="str">
        <f>'Legal Register'!D19</f>
        <v>US — ADA Title II Web &amp; Mobile Accessibility Rule (2024)</v>
      </c>
      <c r="B260" s="16" t="str">
        <f>'Legal Register'!B19</f>
        <v>United States</v>
      </c>
      <c r="C260" s="13">
        <f>COUNTIF('Accessibility Inventory'!$I$2:$K$1000,A260)</f>
        <v>1</v>
      </c>
    </row>
    <row r="261" spans="1:3" x14ac:dyDescent="0.55000000000000004">
      <c r="A261" s="16" t="str">
        <f>'Legal Register'!D20</f>
        <v>US — Section 508 of the Rehabilitation Act</v>
      </c>
      <c r="B261" s="16" t="str">
        <f>'Legal Register'!B20</f>
        <v>United States</v>
      </c>
      <c r="C261" s="13">
        <f>COUNTIF('Accessibility Inventory'!$I$2:$K$1000,A261)</f>
        <v>0</v>
      </c>
    </row>
    <row r="262" spans="1:3" x14ac:dyDescent="0.55000000000000004">
      <c r="A262" s="16" t="str">
        <f>'Legal Register'!D21</f>
        <v>US — Air Carrier Access Act web/kiosk accessibility rule</v>
      </c>
      <c r="B262" s="16" t="str">
        <f>'Legal Register'!B21</f>
        <v>United States</v>
      </c>
      <c r="C262" s="13">
        <f>COUNTIF('Accessibility Inventory'!$I$2:$K$1000,A262)</f>
        <v>0</v>
      </c>
    </row>
    <row r="263" spans="1:3" x14ac:dyDescent="0.55000000000000004">
      <c r="A263" s="16" t="str">
        <f>'Legal Register'!D22</f>
        <v>US — 21st Century Communications and Video Accessibility Act (CVAA)</v>
      </c>
      <c r="B263" s="16" t="str">
        <f>'Legal Register'!B22</f>
        <v>United States</v>
      </c>
      <c r="C263" s="13">
        <f>COUNTIF('Accessibility Inventory'!$I$2:$K$1000,A263)</f>
        <v>0</v>
      </c>
    </row>
    <row r="264" spans="1:3" x14ac:dyDescent="0.55000000000000004">
      <c r="A264" s="16" t="str">
        <f>'Legal Register'!D23</f>
        <v>Canada — Accessible Canada Act (ACA)</v>
      </c>
      <c r="B264" s="16" t="str">
        <f>'Legal Register'!B23</f>
        <v>Canada</v>
      </c>
      <c r="C264" s="13">
        <f>COUNTIF('Accessibility Inventory'!$I$2:$K$1000,A264)</f>
        <v>0</v>
      </c>
    </row>
    <row r="265" spans="1:3" x14ac:dyDescent="0.55000000000000004">
      <c r="A265" s="16" t="str">
        <f>'Legal Register'!D24</f>
        <v>Canada — CAN/ASC-EN 301 549:2024</v>
      </c>
      <c r="B265" s="16" t="str">
        <f>'Legal Register'!B24</f>
        <v>Canada</v>
      </c>
      <c r="C265" s="13">
        <f>COUNTIF('Accessibility Inventory'!$I$2:$K$1000,A265)</f>
        <v>0</v>
      </c>
    </row>
    <row r="266" spans="1:3" x14ac:dyDescent="0.55000000000000004">
      <c r="A266" s="16" t="str">
        <f>'Legal Register'!D25</f>
        <v>Ontario — AODA web accessibility requirements</v>
      </c>
      <c r="B266" s="16" t="str">
        <f>'Legal Register'!B25</f>
        <v>Canada — Ontario</v>
      </c>
      <c r="C266" s="13">
        <f>COUNTIF('Accessibility Inventory'!$I$2:$K$1000,A266)</f>
        <v>0</v>
      </c>
    </row>
    <row r="267" spans="1:3" x14ac:dyDescent="0.55000000000000004">
      <c r="A267" s="16" t="str">
        <f>'Legal Register'!D26</f>
        <v>Australia — Disability Discrimination Act 1992 (DDA)</v>
      </c>
      <c r="B267" s="16" t="str">
        <f>'Legal Register'!B26</f>
        <v>Australia</v>
      </c>
      <c r="C267" s="13">
        <f>COUNTIF('Accessibility Inventory'!$I$2:$K$1000,A267)</f>
        <v>0</v>
      </c>
    </row>
    <row r="268" spans="1:3" x14ac:dyDescent="0.55000000000000004">
      <c r="A268" s="16" t="str">
        <f>'Legal Register'!D27</f>
        <v>Australia — Digital Experience Policy / Digital Service Standard</v>
      </c>
      <c r="B268" s="16" t="str">
        <f>'Legal Register'!B27</f>
        <v>Australia</v>
      </c>
      <c r="C268" s="13">
        <f>COUNTIF('Accessibility Inventory'!$I$2:$K$1000,A268)</f>
        <v>0</v>
      </c>
    </row>
    <row r="269" spans="1:3" x14ac:dyDescent="0.55000000000000004">
      <c r="A269" s="16" t="str">
        <f>'Legal Register'!D28</f>
        <v>Australia — Commonwealth Procurement Rules + AS EN 301 549</v>
      </c>
      <c r="B269" s="16" t="str">
        <f>'Legal Register'!B28</f>
        <v>Australia</v>
      </c>
      <c r="C269" s="13">
        <f>COUNTIF('Accessibility Inventory'!$I$2:$K$1000,A269)</f>
        <v>0</v>
      </c>
    </row>
    <row r="270" spans="1:3" x14ac:dyDescent="0.55000000000000004">
      <c r="A270" s="16" t="str">
        <f>'Legal Register'!D29</f>
        <v>New Zealand — Human Rights Act 1993</v>
      </c>
      <c r="B270" s="16" t="str">
        <f>'Legal Register'!B29</f>
        <v>New Zealand</v>
      </c>
      <c r="C270" s="13">
        <f>COUNTIF('Accessibility Inventory'!$I$2:$K$1000,A270)</f>
        <v>0</v>
      </c>
    </row>
    <row r="271" spans="1:3" x14ac:dyDescent="0.55000000000000004">
      <c r="A271" s="16" t="str">
        <f>'Legal Register'!D30</f>
        <v>New Zealand — Government Web Accessibility Standard</v>
      </c>
      <c r="B271" s="16" t="str">
        <f>'Legal Register'!B30</f>
        <v>New Zealand</v>
      </c>
      <c r="C271" s="13">
        <f>COUNTIF('Accessibility Inventory'!$I$2:$K$1000,A271)</f>
        <v>0</v>
      </c>
    </row>
    <row r="272" spans="1:3" ht="24.6" x14ac:dyDescent="0.55000000000000004">
      <c r="A272" s="16" t="str">
        <f>'Legal Register'!D31</f>
        <v>Japan — Act for Eliminating Discrimination against Persons with Disabilities</v>
      </c>
      <c r="B272" s="16" t="str">
        <f>'Legal Register'!B31</f>
        <v>Japan</v>
      </c>
      <c r="C272" s="13">
        <f>COUNTIF('Accessibility Inventory'!$I$2:$K$1000,A272)</f>
        <v>0</v>
      </c>
    </row>
    <row r="273" spans="1:3" x14ac:dyDescent="0.55000000000000004">
      <c r="A273" s="16" t="str">
        <f>'Legal Register'!D32</f>
        <v>Japan — JIS X 8341-3:2016 + Everyone's Public Website Guidelines</v>
      </c>
      <c r="B273" s="16" t="str">
        <f>'Legal Register'!B32</f>
        <v>Japan</v>
      </c>
      <c r="C273" s="13">
        <f>COUNTIF('Accessibility Inventory'!$I$2:$K$1000,A273)</f>
        <v>0</v>
      </c>
    </row>
    <row r="274" spans="1:3" x14ac:dyDescent="0.55000000000000004">
      <c r="A274" s="16" t="str">
        <f>'Legal Register'!D33</f>
        <v>India — Rights of Persons with Disabilities Act 2016</v>
      </c>
      <c r="B274" s="16" t="str">
        <f>'Legal Register'!B33</f>
        <v>India</v>
      </c>
      <c r="C274" s="13">
        <f>COUNTIF('Accessibility Inventory'!$I$2:$K$1000,A274)</f>
        <v>0</v>
      </c>
    </row>
    <row r="275" spans="1:3" x14ac:dyDescent="0.55000000000000004">
      <c r="A275" s="16" t="str">
        <f>'Legal Register'!D34</f>
        <v>India — Guidelines for Indian Government Websites / Apps (GIGW)</v>
      </c>
      <c r="B275" s="16" t="str">
        <f>'Legal Register'!B34</f>
        <v>India</v>
      </c>
      <c r="C275" s="13">
        <f>COUNTIF('Accessibility Inventory'!$I$2:$K$1000,A275)</f>
        <v>0</v>
      </c>
    </row>
    <row r="276" spans="1:3" x14ac:dyDescent="0.55000000000000004">
      <c r="A276" s="16" t="str">
        <f>'Legal Register'!D35</f>
        <v>Republic of Korea — disability accessibility framework</v>
      </c>
      <c r="B276" s="16" t="str">
        <f>'Legal Register'!B35</f>
        <v>Republic of Korea</v>
      </c>
      <c r="C276" s="13">
        <f>COUNTIF('Accessibility Inventory'!$I$2:$K$1000,A276)</f>
        <v>0</v>
      </c>
    </row>
    <row r="277" spans="1:3" ht="24.6" x14ac:dyDescent="0.55000000000000004">
      <c r="A277" s="16" t="str">
        <f>'Legal Register'!D36</f>
        <v>China — Law on Protection of Persons with Disabilities + digital accessibility standards</v>
      </c>
      <c r="B277" s="16" t="str">
        <f>'Legal Register'!B36</f>
        <v>China</v>
      </c>
      <c r="C277" s="13">
        <f>COUNTIF('Accessibility Inventory'!$I$2:$K$1000,A277)</f>
        <v>0</v>
      </c>
    </row>
    <row r="278" spans="1:3" x14ac:dyDescent="0.55000000000000004">
      <c r="A278" s="16" t="str">
        <f>'Legal Register'!D37</f>
        <v>Hong Kong — Government web accessibility guidance</v>
      </c>
      <c r="B278" s="16" t="str">
        <f>'Legal Register'!B37</f>
        <v>Hong Kong SAR</v>
      </c>
      <c r="C278" s="13">
        <f>COUNTIF('Accessibility Inventory'!$I$2:$K$1000,A278)</f>
        <v>0</v>
      </c>
    </row>
    <row r="279" spans="1:3" ht="24.6" x14ac:dyDescent="0.55000000000000004">
      <c r="A279" s="16" t="str">
        <f>'Legal Register'!D38</f>
        <v>Israel — Equal Rights for Persons with Disabilities framework + web accessibility regulations</v>
      </c>
      <c r="B279" s="16" t="str">
        <f>'Legal Register'!B38</f>
        <v>Israel</v>
      </c>
      <c r="C279" s="13">
        <f>COUNTIF('Accessibility Inventory'!$I$2:$K$1000,A279)</f>
        <v>0</v>
      </c>
    </row>
    <row r="280" spans="1:3" x14ac:dyDescent="0.55000000000000004">
      <c r="A280" s="16" t="str">
        <f>'Legal Register'!D39</f>
        <v>Brazil — Brazilian Law of Inclusion (Law No. 13.146/2015)</v>
      </c>
      <c r="B280" s="16" t="str">
        <f>'Legal Register'!B39</f>
        <v>Brazil</v>
      </c>
      <c r="C280" s="13">
        <f>COUNTIF('Accessibility Inventory'!$I$2:$K$1000,A280)</f>
        <v>0</v>
      </c>
    </row>
    <row r="281" spans="1:3" x14ac:dyDescent="0.55000000000000004">
      <c r="A281" s="16" t="str">
        <f>'Legal Register'!D40</f>
        <v>Brazil — eMAG</v>
      </c>
      <c r="B281" s="16" t="str">
        <f>'Legal Register'!B40</f>
        <v>Brazil</v>
      </c>
      <c r="C281" s="13">
        <f>COUNTIF('Accessibility Inventory'!$I$2:$K$1000,A281)</f>
        <v>0</v>
      </c>
    </row>
    <row r="282" spans="1:3" x14ac:dyDescent="0.55000000000000004">
      <c r="A282" s="16" t="str">
        <f>'Legal Register'!D41</f>
        <v>Argentina — Law No. 26.653 on Web Accessibility</v>
      </c>
      <c r="B282" s="16" t="str">
        <f>'Legal Register'!B41</f>
        <v>Argentina</v>
      </c>
      <c r="C282" s="13">
        <f>COUNTIF('Accessibility Inventory'!$I$2:$K$1000,A282)</f>
        <v>0</v>
      </c>
    </row>
    <row r="283" spans="1:3" x14ac:dyDescent="0.55000000000000004">
      <c r="A283" s="16" t="str">
        <f>'Legal Register'!D42</f>
        <v>Colombia — Resolution 1519/2020 web accessibility framework</v>
      </c>
      <c r="B283" s="16" t="str">
        <f>'Legal Register'!B42</f>
        <v>Colombia</v>
      </c>
      <c r="C283" s="13">
        <f>COUNTIF('Accessibility Inventory'!$I$2:$K$1000,A283)</f>
        <v>0</v>
      </c>
    </row>
    <row r="284" spans="1:3" x14ac:dyDescent="0.55000000000000004">
      <c r="A284" s="16" t="str">
        <f>'Legal Register'!D43</f>
        <v>Kenya — KS 2952 Accessibility of ICT Products and Services</v>
      </c>
      <c r="B284" s="16" t="str">
        <f>'Legal Register'!B43</f>
        <v>Kenya</v>
      </c>
      <c r="C284" s="13">
        <f>COUNTIF('Accessibility Inventory'!$I$2:$K$1000,A284)</f>
        <v>0</v>
      </c>
    </row>
    <row r="285" spans="1:3" x14ac:dyDescent="0.55000000000000004">
      <c r="A285" s="16" t="str">
        <f>'Legal Register'!D44</f>
        <v>South Africa — Government Website Accessibility Guidelines</v>
      </c>
      <c r="B285" s="16" t="str">
        <f>'Legal Register'!B44</f>
        <v>South Africa</v>
      </c>
      <c r="C285" s="13">
        <f>COUNTIF('Accessibility Inventory'!$I$2:$K$1000,A285)</f>
        <v>0</v>
      </c>
    </row>
  </sheetData>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9"/>
  <sheetViews>
    <sheetView showGridLines="0" zoomScaleNormal="100" workbookViewId="0">
      <pane ySplit="1" topLeftCell="A17" activePane="bottomLeft" state="frozen"/>
      <selection pane="bottomLeft" activeCell="D9" sqref="D9"/>
    </sheetView>
  </sheetViews>
  <sheetFormatPr defaultColWidth="8.68359375" defaultRowHeight="14.4" x14ac:dyDescent="0.55000000000000004"/>
  <cols>
    <col min="1" max="1" width="5" customWidth="1"/>
    <col min="2" max="2" width="16" customWidth="1"/>
    <col min="3" max="3" width="32" customWidth="1"/>
    <col min="4" max="4" width="80" customWidth="1"/>
    <col min="5" max="5" width="60" customWidth="1"/>
    <col min="6" max="6" width="18" customWidth="1"/>
  </cols>
  <sheetData>
    <row r="1" spans="1:6" x14ac:dyDescent="0.55000000000000004">
      <c r="A1" s="23" t="s">
        <v>580</v>
      </c>
      <c r="B1" s="23" t="s">
        <v>581</v>
      </c>
      <c r="C1" s="23" t="s">
        <v>582</v>
      </c>
      <c r="D1" s="23" t="s">
        <v>583</v>
      </c>
      <c r="E1" s="23" t="s">
        <v>584</v>
      </c>
      <c r="F1" s="23" t="s">
        <v>585</v>
      </c>
    </row>
    <row r="2" spans="1:6" ht="24.6" x14ac:dyDescent="0.55000000000000004">
      <c r="A2" s="24">
        <v>1</v>
      </c>
      <c r="B2" s="24" t="s">
        <v>586</v>
      </c>
      <c r="C2" s="24" t="s">
        <v>587</v>
      </c>
      <c r="D2" s="24" t="s">
        <v>588</v>
      </c>
      <c r="E2" s="24" t="s">
        <v>589</v>
      </c>
      <c r="F2" s="24" t="s">
        <v>590</v>
      </c>
    </row>
    <row r="3" spans="1:6" ht="24.6" x14ac:dyDescent="0.55000000000000004">
      <c r="A3" s="24">
        <v>2</v>
      </c>
      <c r="B3" s="24" t="s">
        <v>591</v>
      </c>
      <c r="C3" s="24" t="s">
        <v>592</v>
      </c>
      <c r="D3" s="24" t="s">
        <v>593</v>
      </c>
      <c r="E3" s="24" t="s">
        <v>594</v>
      </c>
      <c r="F3" s="24" t="s">
        <v>590</v>
      </c>
    </row>
    <row r="4" spans="1:6" x14ac:dyDescent="0.55000000000000004">
      <c r="A4" s="24">
        <v>3</v>
      </c>
      <c r="B4" s="24" t="s">
        <v>586</v>
      </c>
      <c r="C4" s="24" t="s">
        <v>595</v>
      </c>
      <c r="D4" s="24" t="s">
        <v>596</v>
      </c>
      <c r="E4" s="24" t="s">
        <v>597</v>
      </c>
      <c r="F4" s="24" t="s">
        <v>590</v>
      </c>
    </row>
    <row r="5" spans="1:6" ht="24.6" x14ac:dyDescent="0.55000000000000004">
      <c r="A5" s="24">
        <v>4</v>
      </c>
      <c r="B5" s="24" t="s">
        <v>598</v>
      </c>
      <c r="C5" s="24" t="s">
        <v>599</v>
      </c>
      <c r="D5" s="24" t="s">
        <v>600</v>
      </c>
      <c r="E5" s="24" t="s">
        <v>601</v>
      </c>
      <c r="F5" s="24" t="s">
        <v>590</v>
      </c>
    </row>
    <row r="6" spans="1:6" x14ac:dyDescent="0.55000000000000004">
      <c r="A6" s="24">
        <v>5</v>
      </c>
      <c r="B6" s="24" t="s">
        <v>591</v>
      </c>
      <c r="C6" s="24" t="s">
        <v>602</v>
      </c>
      <c r="D6" s="24" t="s">
        <v>603</v>
      </c>
      <c r="E6" s="24" t="s">
        <v>604</v>
      </c>
      <c r="F6" s="24" t="s">
        <v>605</v>
      </c>
    </row>
    <row r="7" spans="1:6" ht="24.6" x14ac:dyDescent="0.55000000000000004">
      <c r="A7" s="24">
        <v>6</v>
      </c>
      <c r="B7" s="24" t="s">
        <v>591</v>
      </c>
      <c r="C7" s="24" t="s">
        <v>606</v>
      </c>
      <c r="D7" s="24" t="s">
        <v>607</v>
      </c>
      <c r="E7" s="24" t="s">
        <v>608</v>
      </c>
      <c r="F7" s="24" t="s">
        <v>605</v>
      </c>
    </row>
    <row r="8" spans="1:6" ht="49.2" x14ac:dyDescent="0.55000000000000004">
      <c r="A8" s="24">
        <v>7</v>
      </c>
      <c r="B8" s="24" t="s">
        <v>586</v>
      </c>
      <c r="C8" s="24" t="s">
        <v>609</v>
      </c>
      <c r="D8" s="24" t="s">
        <v>610</v>
      </c>
      <c r="E8" s="24" t="s">
        <v>611</v>
      </c>
      <c r="F8" s="24" t="s">
        <v>605</v>
      </c>
    </row>
    <row r="9" spans="1:6" ht="36.9" x14ac:dyDescent="0.55000000000000004">
      <c r="A9" s="24">
        <v>8</v>
      </c>
      <c r="B9" s="24" t="s">
        <v>586</v>
      </c>
      <c r="C9" s="24" t="s">
        <v>612</v>
      </c>
      <c r="D9" s="24" t="s">
        <v>613</v>
      </c>
      <c r="E9" s="24" t="s">
        <v>614</v>
      </c>
      <c r="F9" s="24" t="s">
        <v>605</v>
      </c>
    </row>
    <row r="10" spans="1:6" ht="36.9" x14ac:dyDescent="0.55000000000000004">
      <c r="A10" s="24">
        <v>9</v>
      </c>
      <c r="B10" s="24" t="s">
        <v>586</v>
      </c>
      <c r="C10" s="24" t="s">
        <v>615</v>
      </c>
      <c r="D10" s="24" t="s">
        <v>616</v>
      </c>
      <c r="E10" s="24" t="s">
        <v>617</v>
      </c>
      <c r="F10" s="24" t="s">
        <v>605</v>
      </c>
    </row>
    <row r="11" spans="1:6" ht="24.6" x14ac:dyDescent="0.55000000000000004">
      <c r="A11" s="24">
        <v>10</v>
      </c>
      <c r="B11" s="24" t="s">
        <v>586</v>
      </c>
      <c r="C11" s="24" t="s">
        <v>618</v>
      </c>
      <c r="D11" s="24" t="s">
        <v>619</v>
      </c>
      <c r="E11" s="24" t="s">
        <v>620</v>
      </c>
      <c r="F11" s="24" t="s">
        <v>605</v>
      </c>
    </row>
    <row r="12" spans="1:6" ht="24.6" x14ac:dyDescent="0.55000000000000004">
      <c r="A12" s="24">
        <v>11</v>
      </c>
      <c r="B12" s="24" t="s">
        <v>591</v>
      </c>
      <c r="C12" s="24" t="s">
        <v>621</v>
      </c>
      <c r="D12" s="24" t="s">
        <v>622</v>
      </c>
      <c r="E12" s="24" t="s">
        <v>623</v>
      </c>
      <c r="F12" s="24" t="s">
        <v>605</v>
      </c>
    </row>
    <row r="13" spans="1:6" ht="36.9" x14ac:dyDescent="0.55000000000000004">
      <c r="A13" s="24">
        <v>12</v>
      </c>
      <c r="B13" s="24" t="s">
        <v>586</v>
      </c>
      <c r="C13" s="24" t="s">
        <v>624</v>
      </c>
      <c r="D13" s="24" t="s">
        <v>625</v>
      </c>
      <c r="E13" s="24" t="s">
        <v>626</v>
      </c>
      <c r="F13" s="24" t="s">
        <v>605</v>
      </c>
    </row>
    <row r="14" spans="1:6" ht="36.9" x14ac:dyDescent="0.55000000000000004">
      <c r="A14" s="24">
        <v>13</v>
      </c>
      <c r="B14" s="24" t="s">
        <v>627</v>
      </c>
      <c r="C14" s="24" t="s">
        <v>628</v>
      </c>
      <c r="D14" s="24" t="s">
        <v>629</v>
      </c>
      <c r="E14" s="24" t="s">
        <v>630</v>
      </c>
      <c r="F14" s="24" t="s">
        <v>631</v>
      </c>
    </row>
    <row r="15" spans="1:6" ht="36.9" x14ac:dyDescent="0.55000000000000004">
      <c r="A15" s="24">
        <v>14</v>
      </c>
      <c r="B15" s="24" t="s">
        <v>627</v>
      </c>
      <c r="C15" s="24" t="s">
        <v>632</v>
      </c>
      <c r="D15" s="24" t="s">
        <v>633</v>
      </c>
      <c r="E15" s="24" t="s">
        <v>634</v>
      </c>
      <c r="F15" s="24" t="s">
        <v>631</v>
      </c>
    </row>
    <row r="16" spans="1:6" ht="24.6" x14ac:dyDescent="0.55000000000000004">
      <c r="A16" s="24">
        <v>15</v>
      </c>
      <c r="B16" s="24" t="s">
        <v>627</v>
      </c>
      <c r="C16" s="24" t="s">
        <v>635</v>
      </c>
      <c r="D16" s="24" t="s">
        <v>636</v>
      </c>
      <c r="E16" s="24" t="s">
        <v>637</v>
      </c>
      <c r="F16" s="24" t="s">
        <v>631</v>
      </c>
    </row>
    <row r="17" spans="1:6" ht="36.9" x14ac:dyDescent="0.55000000000000004">
      <c r="A17" s="24">
        <v>16</v>
      </c>
      <c r="B17" s="24" t="s">
        <v>627</v>
      </c>
      <c r="C17" s="24" t="s">
        <v>638</v>
      </c>
      <c r="D17" s="24" t="s">
        <v>639</v>
      </c>
      <c r="E17" s="24" t="s">
        <v>640</v>
      </c>
      <c r="F17" s="24" t="s">
        <v>631</v>
      </c>
    </row>
    <row r="18" spans="1:6" ht="36.9" x14ac:dyDescent="0.55000000000000004">
      <c r="A18" s="24">
        <v>17</v>
      </c>
      <c r="B18" s="24" t="s">
        <v>627</v>
      </c>
      <c r="C18" s="24" t="s">
        <v>641</v>
      </c>
      <c r="D18" s="24" t="s">
        <v>642</v>
      </c>
      <c r="E18" s="24" t="s">
        <v>643</v>
      </c>
      <c r="F18" s="24" t="s">
        <v>631</v>
      </c>
    </row>
    <row r="19" spans="1:6" ht="36.9" x14ac:dyDescent="0.55000000000000004">
      <c r="A19" s="24">
        <v>18</v>
      </c>
      <c r="B19" s="24" t="s">
        <v>627</v>
      </c>
      <c r="C19" s="24" t="s">
        <v>644</v>
      </c>
      <c r="D19" s="24" t="s">
        <v>645</v>
      </c>
      <c r="E19" s="24" t="s">
        <v>646</v>
      </c>
      <c r="F19" s="24" t="s">
        <v>631</v>
      </c>
    </row>
    <row r="20" spans="1:6" ht="36.9" x14ac:dyDescent="0.55000000000000004">
      <c r="A20" s="24">
        <v>19</v>
      </c>
      <c r="B20" s="24" t="s">
        <v>627</v>
      </c>
      <c r="C20" s="24" t="s">
        <v>647</v>
      </c>
      <c r="D20" s="24" t="s">
        <v>648</v>
      </c>
      <c r="E20" s="24" t="s">
        <v>649</v>
      </c>
      <c r="F20" s="24" t="s">
        <v>631</v>
      </c>
    </row>
    <row r="21" spans="1:6" ht="36.9" x14ac:dyDescent="0.55000000000000004">
      <c r="A21" s="24">
        <v>20</v>
      </c>
      <c r="B21" s="24" t="s">
        <v>650</v>
      </c>
      <c r="C21" s="24" t="s">
        <v>651</v>
      </c>
      <c r="D21" s="24" t="s">
        <v>652</v>
      </c>
      <c r="E21" s="24" t="s">
        <v>653</v>
      </c>
      <c r="F21" s="24" t="s">
        <v>654</v>
      </c>
    </row>
    <row r="22" spans="1:6" ht="24.6" x14ac:dyDescent="0.55000000000000004">
      <c r="A22" s="24">
        <v>21</v>
      </c>
      <c r="B22" s="24" t="s">
        <v>655</v>
      </c>
      <c r="C22" s="24" t="s">
        <v>656</v>
      </c>
      <c r="D22" s="24" t="s">
        <v>657</v>
      </c>
      <c r="E22" s="24" t="s">
        <v>658</v>
      </c>
      <c r="F22" s="24" t="s">
        <v>659</v>
      </c>
    </row>
    <row r="24" spans="1:6" x14ac:dyDescent="0.55000000000000004">
      <c r="B24" s="25" t="s">
        <v>660</v>
      </c>
    </row>
    <row r="25" spans="1:6" x14ac:dyDescent="0.55000000000000004">
      <c r="B25" s="26" t="s">
        <v>590</v>
      </c>
      <c r="C25" s="27">
        <f>COUNTIF($F$2:$F$22,B25)</f>
        <v>4</v>
      </c>
    </row>
    <row r="26" spans="1:6" x14ac:dyDescent="0.55000000000000004">
      <c r="B26" s="26" t="s">
        <v>605</v>
      </c>
      <c r="C26" s="27">
        <f>COUNTIF($F$2:$F$22,B26)</f>
        <v>8</v>
      </c>
    </row>
    <row r="27" spans="1:6" x14ac:dyDescent="0.55000000000000004">
      <c r="B27" s="26" t="s">
        <v>631</v>
      </c>
      <c r="C27" s="27">
        <f>COUNTIF($F$2:$F$22,B27)</f>
        <v>7</v>
      </c>
    </row>
    <row r="28" spans="1:6" x14ac:dyDescent="0.55000000000000004">
      <c r="B28" s="26" t="s">
        <v>654</v>
      </c>
      <c r="C28" s="27">
        <f>COUNTIF($F$2:$F$22,B28)</f>
        <v>1</v>
      </c>
    </row>
    <row r="29" spans="1:6" x14ac:dyDescent="0.55000000000000004">
      <c r="B29" s="26" t="s">
        <v>659</v>
      </c>
      <c r="C29" s="27">
        <f>COUNTIF($F$2:$F$22,B29)</f>
        <v>1</v>
      </c>
    </row>
  </sheetData>
  <autoFilter ref="A1:F22" xr:uid="{00000000-0009-0000-0000-000005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vt:lpstr>
      <vt:lpstr>Accessibility Inventory</vt:lpstr>
      <vt:lpstr>Legal Register</vt:lpstr>
      <vt:lpstr>Lookups</vt:lpstr>
      <vt:lpstr>Reporting</vt:lpstr>
      <vt:lpstr>Review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Chris Porter</cp:lastModifiedBy>
  <cp:revision>1</cp:revision>
  <dcterms:created xsi:type="dcterms:W3CDTF">2026-10-02T09:06:14Z</dcterms:created>
  <dcterms:modified xsi:type="dcterms:W3CDTF">2026-10-02T15:40:22Z</dcterms:modified>
  <dc:language>en-US</dc:language>
</cp:coreProperties>
</file>